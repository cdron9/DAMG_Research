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liveduq-my.sharepoint.com/personal/ogdenj1_duq_edu/Documents/"/>
    </mc:Choice>
  </mc:AlternateContent>
  <xr:revisionPtr revIDLastSave="4" documentId="8_{A9C584DB-7DDB-9749-868D-2D25913A6703}" xr6:coauthVersionLast="47" xr6:coauthVersionMax="47" xr10:uidLastSave="{02F18000-9ED3-B74C-AF8A-84E5708997EE}"/>
  <bookViews>
    <workbookView xWindow="0" yWindow="660" windowWidth="30240" windowHeight="17860" activeTab="1" xr2:uid="{1654997D-F604-CE4C-B3F6-C3F1D2AD2140}"/>
  </bookViews>
  <sheets>
    <sheet name="DVF Tracker" sheetId="1" r:id="rId1"/>
    <sheet name="YTD Gains, ETC 202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T57" i="1" a="1"/>
  <c r="T57" i="1" s="1"/>
  <c r="T58" i="1" a="1"/>
  <c r="T58" i="1" s="1"/>
  <c r="T59" i="1" a="1"/>
  <c r="T59" i="1" s="1"/>
  <c r="T60" i="1" a="1"/>
  <c r="T60" i="1" s="1"/>
  <c r="T17" i="1" a="1"/>
  <c r="T17" i="1" s="1"/>
  <c r="T18" i="1" a="1"/>
  <c r="T18" i="1" s="1"/>
  <c r="T19" i="1" a="1"/>
  <c r="T19" i="1" s="1"/>
  <c r="T20" i="1" a="1"/>
  <c r="T20" i="1" s="1"/>
  <c r="J51" i="1"/>
  <c r="J50" i="1"/>
  <c r="J20" i="2"/>
  <c r="J19" i="2"/>
  <c r="J18" i="2"/>
  <c r="J17" i="2"/>
  <c r="E17" i="2" a="1"/>
  <c r="E17" i="2" s="1"/>
  <c r="I17" i="2" s="1"/>
  <c r="E18" i="2" a="1"/>
  <c r="E18" i="2" s="1"/>
  <c r="I18" i="2" s="1"/>
  <c r="E19" i="2" a="1"/>
  <c r="E19" i="2" s="1"/>
  <c r="K19" i="2" s="1"/>
  <c r="E20" i="2" a="1"/>
  <c r="E20" i="2" s="1"/>
  <c r="I20" i="2" s="1"/>
  <c r="C17" i="2" a="1"/>
  <c r="C17" i="2" s="1"/>
  <c r="C18" i="2" a="1"/>
  <c r="C18" i="2" s="1"/>
  <c r="C19" i="2" a="1"/>
  <c r="C19" i="2" s="1"/>
  <c r="C20" i="2" a="1"/>
  <c r="C20" i="2" s="1"/>
  <c r="H20" i="1"/>
  <c r="H19" i="1"/>
  <c r="H18" i="1"/>
  <c r="H17" i="1"/>
  <c r="J19" i="1" a="1"/>
  <c r="J19" i="1" s="1"/>
  <c r="J20" i="1" a="1"/>
  <c r="J20" i="1" s="1"/>
  <c r="I19" i="1" a="1"/>
  <c r="I19" i="1" s="1"/>
  <c r="I20" i="1" a="1"/>
  <c r="I20" i="1" s="1"/>
  <c r="E19" i="1" a="1"/>
  <c r="E19" i="1" s="1"/>
  <c r="F19" i="1" s="1"/>
  <c r="L19" i="1" s="1"/>
  <c r="E20" i="1" a="1"/>
  <c r="E20" i="1" s="1"/>
  <c r="F20" i="1" s="1"/>
  <c r="L20" i="1" s="1"/>
  <c r="C20" i="1" a="1"/>
  <c r="C20" i="1" s="1"/>
  <c r="C19" i="1" a="1"/>
  <c r="C19" i="1" s="1"/>
  <c r="J18" i="1" a="1"/>
  <c r="J18" i="1" s="1"/>
  <c r="J17" i="1" a="1"/>
  <c r="J17" i="1" s="1"/>
  <c r="I18" i="1" a="1"/>
  <c r="I18" i="1" s="1"/>
  <c r="I17" i="1" a="1"/>
  <c r="I17" i="1" s="1"/>
  <c r="E18" i="1" a="1"/>
  <c r="E18" i="1" s="1"/>
  <c r="F18" i="1" s="1"/>
  <c r="L18" i="1" s="1"/>
  <c r="E17" i="1" a="1"/>
  <c r="E17" i="1" s="1"/>
  <c r="C18" i="1" a="1"/>
  <c r="C18" i="1" s="1"/>
  <c r="C17" i="1" a="1"/>
  <c r="C17" i="1" s="1"/>
  <c r="I51" i="1" l="1"/>
  <c r="I50" i="1"/>
  <c r="I68" i="1"/>
  <c r="F20" i="2"/>
  <c r="H20" i="2" s="1"/>
  <c r="F19" i="2"/>
  <c r="H19" i="2" s="1"/>
  <c r="F18" i="2"/>
  <c r="H18" i="2" s="1"/>
  <c r="K20" i="2"/>
  <c r="F17" i="2"/>
  <c r="H17" i="2" s="1"/>
  <c r="K17" i="2"/>
  <c r="K18" i="2"/>
  <c r="I19" i="2"/>
  <c r="K19" i="1"/>
  <c r="K20" i="1"/>
  <c r="K18" i="1"/>
  <c r="K17" i="1"/>
  <c r="F17" i="1"/>
  <c r="L17" i="1" l="1"/>
  <c r="I54" i="1"/>
  <c r="T56" i="1" a="1"/>
  <c r="T56" i="1" s="1"/>
  <c r="T55" i="1" a="1"/>
  <c r="T55" i="1" s="1"/>
  <c r="T54" i="1" a="1"/>
  <c r="T54" i="1" s="1"/>
  <c r="T53" i="1" a="1"/>
  <c r="T53" i="1" s="1"/>
  <c r="T52" i="1" a="1"/>
  <c r="T52" i="1" s="1"/>
  <c r="T51" i="1" a="1"/>
  <c r="T51" i="1" s="1"/>
  <c r="T50" i="1" a="1"/>
  <c r="T50" i="1" s="1"/>
  <c r="T49" i="1" a="1"/>
  <c r="T49" i="1" s="1"/>
  <c r="T47" i="1" a="1"/>
  <c r="T47" i="1" s="1"/>
  <c r="T46" i="1" a="1"/>
  <c r="T46" i="1" s="1"/>
  <c r="T45" i="1" a="1"/>
  <c r="T45" i="1" s="1"/>
  <c r="T44" i="1" a="1"/>
  <c r="T44" i="1" s="1"/>
  <c r="E5" i="1" l="1" a="1"/>
  <c r="E5" i="1" s="1"/>
  <c r="K5" i="1" s="1"/>
  <c r="AH7" i="1"/>
  <c r="T16" i="1" a="1"/>
  <c r="T16" i="1" s="1"/>
  <c r="T15" i="1" a="1"/>
  <c r="T15" i="1" s="1"/>
  <c r="T14" i="1" a="1"/>
  <c r="T14" i="1" s="1"/>
  <c r="T13" i="1" a="1"/>
  <c r="T13" i="1" s="1"/>
  <c r="T12" i="1" a="1"/>
  <c r="T12" i="1" s="1"/>
  <c r="T11" i="1" a="1"/>
  <c r="T11" i="1" s="1"/>
  <c r="T10" i="1" a="1"/>
  <c r="T10" i="1" s="1"/>
  <c r="T9" i="1" a="1"/>
  <c r="T9" i="1" s="1"/>
  <c r="T8" i="1" a="1"/>
  <c r="T8" i="1" s="1"/>
  <c r="T7" i="1" a="1"/>
  <c r="T7" i="1" s="1"/>
  <c r="T6" i="1" a="1"/>
  <c r="T6" i="1" s="1"/>
  <c r="T5" i="1" a="1"/>
  <c r="T5" i="1" s="1"/>
  <c r="T4" i="1" a="1"/>
  <c r="T4" i="1" s="1"/>
  <c r="J70" i="1"/>
  <c r="J67" i="1"/>
  <c r="J65" i="1"/>
  <c r="J64" i="1"/>
  <c r="J62" i="1"/>
  <c r="J61" i="1"/>
  <c r="J60" i="1"/>
  <c r="J58" i="1"/>
  <c r="J56" i="1"/>
  <c r="J53" i="1"/>
  <c r="J49" i="1"/>
  <c r="J48" i="1"/>
  <c r="J47" i="1"/>
  <c r="I14" i="1" a="1"/>
  <c r="I14" i="1" s="1"/>
  <c r="E11" i="1" a="1"/>
  <c r="E11" i="1" s="1"/>
  <c r="E11" i="2" a="1"/>
  <c r="E11" i="2" s="1"/>
  <c r="J8" i="1" a="1"/>
  <c r="J8" i="1" s="1"/>
  <c r="I8" i="1" a="1"/>
  <c r="I8" i="1" s="1"/>
  <c r="R22" i="2" a="1"/>
  <c r="R22" i="2" s="1"/>
  <c r="R21" i="2" a="1"/>
  <c r="R21" i="2" s="1"/>
  <c r="O42" i="2" a="1"/>
  <c r="O42" i="2" s="1"/>
  <c r="P42" i="2" s="1"/>
  <c r="S22" i="2" s="1"/>
  <c r="O41" i="2" a="1"/>
  <c r="O41" i="2" s="1"/>
  <c r="P41" i="2" s="1"/>
  <c r="S21" i="2" s="1"/>
  <c r="M42" i="2" a="1"/>
  <c r="M42" i="2" s="1"/>
  <c r="M41" i="2" a="1"/>
  <c r="M41" i="2" s="1"/>
  <c r="C5" i="2" a="1"/>
  <c r="C5" i="2" s="1"/>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4" i="2" a="1"/>
  <c r="C4" i="2" s="1"/>
  <c r="J5" i="2"/>
  <c r="J6" i="2"/>
  <c r="J7" i="2"/>
  <c r="J8" i="2"/>
  <c r="J21" i="2" s="1"/>
  <c r="J9" i="2"/>
  <c r="J10" i="2"/>
  <c r="J11" i="2"/>
  <c r="J12" i="2"/>
  <c r="J13" i="2"/>
  <c r="J14" i="2"/>
  <c r="J15" i="2"/>
  <c r="J16" i="2"/>
  <c r="E5" i="2" a="1"/>
  <c r="E5" i="2" s="1"/>
  <c r="E6" i="2" a="1"/>
  <c r="E6" i="2" s="1"/>
  <c r="E7" i="2" a="1"/>
  <c r="E7" i="2" s="1"/>
  <c r="E8" i="2" a="1"/>
  <c r="E8" i="2" s="1"/>
  <c r="E9" i="2" a="1"/>
  <c r="E9" i="2" s="1"/>
  <c r="E10" i="2" a="1"/>
  <c r="E10" i="2" s="1"/>
  <c r="E12" i="2" a="1"/>
  <c r="E12" i="2" s="1"/>
  <c r="E13" i="2" a="1"/>
  <c r="E13" i="2" s="1"/>
  <c r="E14" i="2" a="1"/>
  <c r="E14" i="2" s="1"/>
  <c r="E15" i="2" a="1"/>
  <c r="E15" i="2" s="1"/>
  <c r="E16" i="2" a="1"/>
  <c r="E16" i="2" s="1"/>
  <c r="E4" i="2" a="1"/>
  <c r="E4" i="2" s="1"/>
  <c r="J5" i="1" a="1"/>
  <c r="J5" i="1" s="1"/>
  <c r="J6" i="1" a="1"/>
  <c r="J6" i="1" s="1"/>
  <c r="J7" i="1" a="1"/>
  <c r="J7" i="1" s="1"/>
  <c r="J9" i="1" a="1"/>
  <c r="J9" i="1" s="1"/>
  <c r="J10" i="1" a="1"/>
  <c r="J10" i="1" s="1"/>
  <c r="J11" i="1" a="1"/>
  <c r="J11" i="1" s="1"/>
  <c r="J12" i="1" a="1"/>
  <c r="J12" i="1" s="1"/>
  <c r="J13" i="1" a="1"/>
  <c r="J13" i="1" s="1"/>
  <c r="J14" i="1" a="1"/>
  <c r="J14" i="1" s="1"/>
  <c r="J15" i="1" a="1"/>
  <c r="J15" i="1" s="1"/>
  <c r="J16" i="1" a="1"/>
  <c r="J16" i="1" s="1"/>
  <c r="J4" i="1" a="1"/>
  <c r="J4" i="1" s="1"/>
  <c r="I5" i="1" a="1"/>
  <c r="I5" i="1" s="1"/>
  <c r="I6" i="1" a="1"/>
  <c r="I6" i="1" s="1"/>
  <c r="I7" i="1" a="1"/>
  <c r="I7" i="1" s="1"/>
  <c r="I9" i="1" a="1"/>
  <c r="I9" i="1" s="1"/>
  <c r="I10" i="1" a="1"/>
  <c r="I10" i="1" s="1"/>
  <c r="I11" i="1" a="1"/>
  <c r="I11" i="1" s="1"/>
  <c r="I12" i="1" a="1"/>
  <c r="I12" i="1" s="1"/>
  <c r="I13" i="1" a="1"/>
  <c r="I13" i="1" s="1"/>
  <c r="I15" i="1" a="1"/>
  <c r="I15" i="1" s="1"/>
  <c r="I16" i="1" a="1"/>
  <c r="I16" i="1" s="1"/>
  <c r="I4" i="1" a="1"/>
  <c r="I4" i="1" s="1"/>
  <c r="H5" i="1"/>
  <c r="H6" i="1"/>
  <c r="H7" i="1"/>
  <c r="H8" i="1"/>
  <c r="H9" i="1"/>
  <c r="H10" i="1"/>
  <c r="H11" i="1"/>
  <c r="H12" i="1"/>
  <c r="H13" i="1"/>
  <c r="H14" i="1"/>
  <c r="H15" i="1"/>
  <c r="H16" i="1"/>
  <c r="H4" i="1"/>
  <c r="E6" i="1" a="1"/>
  <c r="E6" i="1" s="1"/>
  <c r="E7" i="1" a="1"/>
  <c r="E7" i="1" s="1"/>
  <c r="E8" i="1" a="1"/>
  <c r="E8" i="1" s="1"/>
  <c r="E9" i="1" a="1"/>
  <c r="E9" i="1" s="1"/>
  <c r="E10" i="1" a="1"/>
  <c r="E10" i="1" s="1"/>
  <c r="E12" i="1" a="1"/>
  <c r="E12" i="1" s="1"/>
  <c r="E13" i="1" a="1"/>
  <c r="E13" i="1" s="1"/>
  <c r="E14" i="1" a="1"/>
  <c r="E14" i="1" s="1"/>
  <c r="E15" i="1" a="1"/>
  <c r="E15" i="1" s="1"/>
  <c r="E16" i="1" a="1"/>
  <c r="E16" i="1" s="1"/>
  <c r="E4" i="1" a="1"/>
  <c r="E4" i="1" s="1"/>
  <c r="K4" i="1" s="1"/>
  <c r="C11" i="1" a="1"/>
  <c r="C11" i="1" s="1"/>
  <c r="C5" i="1" a="1"/>
  <c r="C5" i="1" s="1"/>
  <c r="C6" i="1" a="1"/>
  <c r="C6" i="1" s="1"/>
  <c r="C7" i="1" a="1"/>
  <c r="C7" i="1" s="1"/>
  <c r="C8" i="1" a="1"/>
  <c r="C8" i="1" s="1"/>
  <c r="C9" i="1" a="1"/>
  <c r="C9" i="1" s="1"/>
  <c r="C10" i="1" a="1"/>
  <c r="C10" i="1" s="1"/>
  <c r="C12" i="1" a="1"/>
  <c r="C12" i="1" s="1"/>
  <c r="C13" i="1" a="1"/>
  <c r="C13" i="1" s="1"/>
  <c r="C14" i="1" a="1"/>
  <c r="C14" i="1" s="1"/>
  <c r="C15" i="1" a="1"/>
  <c r="C15" i="1" s="1"/>
  <c r="C16" i="1" a="1"/>
  <c r="C16" i="1" s="1"/>
  <c r="C4" i="1" a="1"/>
  <c r="C4" i="1" s="1"/>
  <c r="H21" i="1" l="1"/>
  <c r="J21" i="1"/>
  <c r="I5" i="2"/>
  <c r="K5" i="2"/>
  <c r="I6" i="2"/>
  <c r="K6" i="2"/>
  <c r="I7" i="2"/>
  <c r="K7" i="2"/>
  <c r="I8" i="2"/>
  <c r="S20" i="2" s="1"/>
  <c r="K8" i="2"/>
  <c r="I9" i="2"/>
  <c r="K9" i="2"/>
  <c r="I11" i="2"/>
  <c r="K11" i="2"/>
  <c r="I12" i="2"/>
  <c r="K12" i="2"/>
  <c r="I13" i="2"/>
  <c r="K13" i="2"/>
  <c r="I14" i="2"/>
  <c r="K14" i="2"/>
  <c r="I15" i="2"/>
  <c r="K15" i="2"/>
  <c r="I16" i="2"/>
  <c r="K16" i="2"/>
  <c r="I4" i="2"/>
  <c r="K4" i="2"/>
  <c r="I10" i="2"/>
  <c r="K10" i="2"/>
  <c r="F5" i="2"/>
  <c r="H5" i="2" s="1"/>
  <c r="F6" i="2"/>
  <c r="H6" i="2" s="1"/>
  <c r="F7" i="2"/>
  <c r="H7" i="2" s="1"/>
  <c r="F8" i="2"/>
  <c r="H8" i="2" s="1"/>
  <c r="F9" i="2"/>
  <c r="H9" i="2" s="1"/>
  <c r="F10" i="2"/>
  <c r="H10" i="2" s="1"/>
  <c r="F11" i="2"/>
  <c r="H11" i="2" s="1"/>
  <c r="F12" i="2"/>
  <c r="H12" i="2" s="1"/>
  <c r="F13" i="2"/>
  <c r="H13" i="2" s="1"/>
  <c r="F14" i="2"/>
  <c r="H14" i="2" s="1"/>
  <c r="F15" i="2"/>
  <c r="H15" i="2" s="1"/>
  <c r="F16" i="2"/>
  <c r="H16" i="2" s="1"/>
  <c r="F4" i="2"/>
  <c r="H4" i="2" s="1"/>
  <c r="F6" i="1"/>
  <c r="I60" i="1" s="1"/>
  <c r="K6" i="1"/>
  <c r="F7" i="1"/>
  <c r="K7" i="1"/>
  <c r="F8" i="1"/>
  <c r="K8" i="1"/>
  <c r="F9" i="1"/>
  <c r="I53" i="1" s="1"/>
  <c r="I52" i="1" s="1"/>
  <c r="K9" i="1"/>
  <c r="F10" i="1"/>
  <c r="K10" i="1"/>
  <c r="F11" i="1"/>
  <c r="K11" i="1"/>
  <c r="F12" i="1"/>
  <c r="K12" i="1"/>
  <c r="F13" i="1"/>
  <c r="K13" i="1"/>
  <c r="F14" i="1"/>
  <c r="K14" i="1"/>
  <c r="F15" i="1"/>
  <c r="K15" i="1"/>
  <c r="F16" i="1"/>
  <c r="K16" i="1"/>
  <c r="F5" i="1"/>
  <c r="F4" i="1"/>
  <c r="H21" i="2" l="1"/>
  <c r="N23" i="1" s="1"/>
  <c r="K21" i="2"/>
  <c r="S19" i="2" s="1"/>
  <c r="O23" i="1" s="1"/>
  <c r="F21" i="1"/>
  <c r="L21" i="1" s="1"/>
  <c r="K21" i="1" s="1"/>
  <c r="L6" i="1"/>
  <c r="L7" i="1"/>
  <c r="I58" i="1"/>
  <c r="I57" i="1" s="1"/>
  <c r="L8" i="1"/>
  <c r="I70" i="1"/>
  <c r="L9" i="1"/>
  <c r="L11" i="1"/>
  <c r="I65" i="1"/>
  <c r="L13" i="1"/>
  <c r="I67" i="1"/>
  <c r="I66" i="1" s="1"/>
  <c r="L14" i="1"/>
  <c r="I62" i="1"/>
  <c r="L15" i="1"/>
  <c r="I56" i="1"/>
  <c r="I55" i="1" s="1"/>
  <c r="L16" i="1"/>
  <c r="I61" i="1"/>
  <c r="L5" i="1"/>
  <c r="I64" i="1"/>
  <c r="L10" i="1"/>
  <c r="I49" i="1"/>
  <c r="L12" i="1"/>
  <c r="I47" i="1"/>
  <c r="L4" i="1"/>
  <c r="I48" i="1"/>
  <c r="I59" i="1" l="1"/>
  <c r="I63" i="1"/>
  <c r="I45" i="1"/>
  <c r="U4" i="1" s="1"/>
  <c r="I46" i="1"/>
  <c r="I21" i="1"/>
  <c r="H46" i="1" l="1"/>
  <c r="H68" i="1"/>
  <c r="H50" i="1"/>
  <c r="H51" i="1"/>
  <c r="H54" i="1"/>
  <c r="H48" i="1"/>
  <c r="U44" i="1" s="1"/>
  <c r="H47" i="1"/>
  <c r="H66" i="1"/>
  <c r="H63" i="1"/>
  <c r="H59" i="1"/>
  <c r="H67" i="1"/>
  <c r="H70" i="1"/>
  <c r="U48" i="1" s="1"/>
  <c r="H57" i="1"/>
  <c r="H64" i="1"/>
  <c r="U45" i="1" s="1"/>
  <c r="H52" i="1"/>
  <c r="H65" i="1"/>
  <c r="H55" i="1"/>
  <c r="H60" i="1"/>
  <c r="H62" i="1"/>
  <c r="H61" i="1"/>
  <c r="U16" i="1" s="1"/>
  <c r="H58" i="1"/>
  <c r="H56" i="1"/>
  <c r="H53" i="1"/>
  <c r="H49" i="1"/>
  <c r="U17" i="1" l="1"/>
  <c r="U57" i="1"/>
  <c r="U59" i="1"/>
  <c r="U19" i="1"/>
  <c r="U18" i="1"/>
  <c r="U58" i="1"/>
  <c r="U20" i="1"/>
  <c r="U60" i="1"/>
  <c r="U8" i="1"/>
  <c r="H69" i="1"/>
  <c r="H45" i="1" s="1"/>
  <c r="U56" i="1"/>
  <c r="U11" i="1"/>
  <c r="U51" i="1"/>
  <c r="U7" i="1"/>
  <c r="U47" i="1"/>
  <c r="U10" i="1"/>
  <c r="U50" i="1"/>
  <c r="U13" i="1"/>
  <c r="U53" i="1"/>
  <c r="U12" i="1"/>
  <c r="U52" i="1"/>
  <c r="U5" i="1"/>
  <c r="U9" i="1"/>
  <c r="U49" i="1"/>
  <c r="U15" i="1"/>
  <c r="U55" i="1"/>
  <c r="U14" i="1"/>
  <c r="U54" i="1"/>
  <c r="U6" i="1"/>
  <c r="U46" i="1"/>
  <c r="T21" i="1" l="1"/>
  <c r="U6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futureMetadata>
  <cellMetadata count="1">
    <bk>
      <rc t="1" v="0"/>
    </bk>
  </cellMetadata>
  <valueMetadata count="1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valueMetadata>
</metadata>
</file>

<file path=xl/sharedStrings.xml><?xml version="1.0" encoding="utf-8"?>
<sst xmlns="http://schemas.openxmlformats.org/spreadsheetml/2006/main" count="155" uniqueCount="103">
  <si>
    <t>Ticker</t>
  </si>
  <si>
    <t>Shares</t>
  </si>
  <si>
    <t>Purchase Price</t>
  </si>
  <si>
    <t>Current Price</t>
  </si>
  <si>
    <t>Market Value</t>
  </si>
  <si>
    <t>Principle</t>
  </si>
  <si>
    <t>Day Gain %</t>
  </si>
  <si>
    <t>Day Gain $</t>
  </si>
  <si>
    <t>Total Gain %</t>
  </si>
  <si>
    <t>Total Gain $</t>
  </si>
  <si>
    <t>ALL POSITIONS</t>
  </si>
  <si>
    <t>TOTALS:</t>
  </si>
  <si>
    <t>N/A</t>
  </si>
  <si>
    <t>(Benchmark / Cash) ---&gt;</t>
  </si>
  <si>
    <t>YTD / Since Buy Gains 2026</t>
  </si>
  <si>
    <t>Change</t>
  </si>
  <si>
    <t>Beginning Value</t>
  </si>
  <si>
    <t>Current Value</t>
  </si>
  <si>
    <t>YTD Gains:</t>
  </si>
  <si>
    <t>YTD Gain $</t>
  </si>
  <si>
    <t>YTD Gain %</t>
  </si>
  <si>
    <t>DVF</t>
  </si>
  <si>
    <t>DSI</t>
  </si>
  <si>
    <t>YTD Gain Comparison</t>
  </si>
  <si>
    <t>Current</t>
  </si>
  <si>
    <t>YTD Gain</t>
  </si>
  <si>
    <t xml:space="preserve"> </t>
  </si>
  <si>
    <t>ASTS</t>
  </si>
  <si>
    <t>BKNG</t>
  </si>
  <si>
    <t>BLK</t>
  </si>
  <si>
    <t>COP</t>
  </si>
  <si>
    <t>GOOG</t>
  </si>
  <si>
    <t>MSFT</t>
  </si>
  <si>
    <t>NKE</t>
  </si>
  <si>
    <t>NVDA</t>
  </si>
  <si>
    <t>PG</t>
  </si>
  <si>
    <t>PYPL</t>
  </si>
  <si>
    <t>RTX</t>
  </si>
  <si>
    <t>V</t>
  </si>
  <si>
    <t>12/31/25 Closing</t>
  </si>
  <si>
    <t>1/31/26 Cl</t>
  </si>
  <si>
    <t>Or Buy Price</t>
  </si>
  <si>
    <t>Prices from 12/31/25 Close</t>
  </si>
  <si>
    <t>DVF Values Tracker</t>
  </si>
  <si>
    <t>Portfolio By Sector Allocations</t>
  </si>
  <si>
    <t>Industry</t>
  </si>
  <si>
    <t># Of Securities</t>
  </si>
  <si>
    <t>% Weight</t>
  </si>
  <si>
    <t># of Shares</t>
  </si>
  <si>
    <t>Technology</t>
  </si>
  <si>
    <t>Communications Services</t>
  </si>
  <si>
    <t>Industrials</t>
  </si>
  <si>
    <t>Energy</t>
  </si>
  <si>
    <t>Financial Services</t>
  </si>
  <si>
    <t>Consumer Cyclical</t>
  </si>
  <si>
    <t>Consumer Defensive</t>
  </si>
  <si>
    <t>ETF / Cash</t>
  </si>
  <si>
    <t>NVIDIA Corporation</t>
  </si>
  <si>
    <t>AST SpaceMobile, Inc.</t>
  </si>
  <si>
    <t>Microsoft Corporation</t>
  </si>
  <si>
    <t>Alphabet Inc.</t>
  </si>
  <si>
    <t>RTX Corporation</t>
  </si>
  <si>
    <t>ConocoPhillips</t>
  </si>
  <si>
    <t>BlackRock, Inc.</t>
  </si>
  <si>
    <t>Visa Inc.</t>
  </si>
  <si>
    <t>Paypal Holdings, Inc.</t>
  </si>
  <si>
    <t>Booking Holdings Inc.</t>
  </si>
  <si>
    <t>NIKE, Inc.</t>
  </si>
  <si>
    <t>The Procter &amp; Gamble Company</t>
  </si>
  <si>
    <t>iShares ESG MSCI KLD 400 ETF</t>
  </si>
  <si>
    <t>Beta Vs S&amp;P</t>
  </si>
  <si>
    <t>Div Yield</t>
  </si>
  <si>
    <t>P/E</t>
  </si>
  <si>
    <t>P/ CF</t>
  </si>
  <si>
    <t>P/B</t>
  </si>
  <si>
    <t>Debt / Eq</t>
  </si>
  <si>
    <t>Current Ratio</t>
  </si>
  <si>
    <t>ROE</t>
  </si>
  <si>
    <t>Plowback?</t>
  </si>
  <si>
    <t>Sector Allocation Vs S&amp;P</t>
  </si>
  <si>
    <t>Std Dev?</t>
  </si>
  <si>
    <t>Beta for DVF</t>
  </si>
  <si>
    <t>FA</t>
  </si>
  <si>
    <t>S&amp;P</t>
  </si>
  <si>
    <t>Difference</t>
  </si>
  <si>
    <t>Calculations</t>
  </si>
  <si>
    <t>FUND BETA:</t>
  </si>
  <si>
    <t xml:space="preserve">BETA </t>
  </si>
  <si>
    <t>Fund P/E:</t>
  </si>
  <si>
    <t>Current P/E</t>
  </si>
  <si>
    <t>P/E For DVF</t>
  </si>
  <si>
    <t>Ticker Symbols</t>
  </si>
  <si>
    <t xml:space="preserve">Ticker </t>
  </si>
  <si>
    <t>APH</t>
  </si>
  <si>
    <t>COST</t>
  </si>
  <si>
    <t>META</t>
  </si>
  <si>
    <t>ORCL</t>
  </si>
  <si>
    <t>Meta Platforms, Inc,</t>
  </si>
  <si>
    <t>Oracle Corporation</t>
  </si>
  <si>
    <t>Amphenol Corporation</t>
  </si>
  <si>
    <t>Costco Wholesale Corporation</t>
  </si>
  <si>
    <t xml:space="preserve">APH </t>
  </si>
  <si>
    <t>Bought in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</si>
</sst>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409]* #,##0.00_);_([$$-409]* \(#,##0.00\);_([$$-409]* &quot;-&quot;??_);_(@_)"/>
    <numFmt numFmtId="165" formatCode="_([$€-2]\ * #,##0.00_);_([$€-2]\ * \(#,##0.00\);_([$€-2]\ * &quot;-&quot;??_);_(@_)"/>
    <numFmt numFmtId="166" formatCode="m/d;@"/>
    <numFmt numFmtId="167" formatCode="0.000"/>
  </numFmts>
  <fonts count="21" x14ac:knownFonts="1">
    <font>
      <sz val="12"/>
      <color theme="1"/>
      <name val="Aptos Narrow"/>
      <family val="2"/>
      <scheme val="minor"/>
    </font>
    <font>
      <sz val="12"/>
      <color theme="1"/>
      <name val="Aptos Narrow"/>
      <family val="2"/>
      <scheme val="minor"/>
    </font>
    <font>
      <b/>
      <sz val="12"/>
      <color theme="1"/>
      <name val="Aptos Narrow"/>
      <scheme val="minor"/>
    </font>
    <font>
      <b/>
      <u/>
      <sz val="12"/>
      <color theme="1"/>
      <name val="Aptos Narrow"/>
      <scheme val="minor"/>
    </font>
    <font>
      <b/>
      <u/>
      <sz val="12"/>
      <color theme="1"/>
      <name val="Aptos Narrow (Body)"/>
    </font>
    <font>
      <b/>
      <u/>
      <sz val="22"/>
      <color theme="1"/>
      <name val="Aptos Narrow"/>
      <scheme val="minor"/>
    </font>
    <font>
      <b/>
      <sz val="20"/>
      <color theme="1"/>
      <name val="Aptos Narrow"/>
      <scheme val="minor"/>
    </font>
    <font>
      <sz val="14"/>
      <color theme="1"/>
      <name val="Aptos Narrow"/>
      <family val="2"/>
    </font>
    <font>
      <b/>
      <sz val="20"/>
      <color theme="1"/>
      <name val="Aptos Narrow (Body)"/>
    </font>
    <font>
      <b/>
      <sz val="14"/>
      <color theme="1"/>
      <name val="Aptos Narrow"/>
      <scheme val="minor"/>
    </font>
    <font>
      <sz val="12"/>
      <color theme="1"/>
      <name val="Aptos Display"/>
      <scheme val="major"/>
    </font>
    <font>
      <b/>
      <u/>
      <sz val="22"/>
      <color theme="1"/>
      <name val="Aptos Narrow (Body)"/>
    </font>
    <font>
      <b/>
      <sz val="12"/>
      <color theme="0"/>
      <name val="Aptos Narrow"/>
      <scheme val="minor"/>
    </font>
    <font>
      <b/>
      <sz val="12"/>
      <color theme="0"/>
      <name val="Aptos Narrow (Body)"/>
    </font>
    <font>
      <b/>
      <sz val="26"/>
      <color theme="1"/>
      <name val="Aptos Narrow"/>
      <scheme val="minor"/>
    </font>
    <font>
      <b/>
      <sz val="12"/>
      <color theme="1"/>
      <name val="Aptos Narrow"/>
      <family val="2"/>
      <scheme val="minor"/>
    </font>
    <font>
      <b/>
      <sz val="14"/>
      <color theme="1"/>
      <name val="Aptos Narrow"/>
      <family val="2"/>
      <scheme val="minor"/>
    </font>
    <font>
      <b/>
      <sz val="18"/>
      <color theme="1"/>
      <name val="Aptos Narrow"/>
      <scheme val="minor"/>
    </font>
    <font>
      <sz val="12"/>
      <color theme="1"/>
      <name val="Aptos Narrow (Body)"/>
    </font>
    <font>
      <sz val="12"/>
      <color theme="1"/>
      <name val="Aptos Narrow"/>
      <scheme val="minor"/>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674"/>
        <bgColor indexed="64"/>
      </patternFill>
    </fill>
  </fills>
  <borders count="14">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1" xfId="0" applyFont="1" applyBorder="1"/>
    <xf numFmtId="0" fontId="3" fillId="0" borderId="2" xfId="0" applyFont="1" applyBorder="1"/>
    <xf numFmtId="0" fontId="0" fillId="0" borderId="3" xfId="0" applyBorder="1"/>
    <xf numFmtId="1" fontId="0" fillId="0" borderId="0" xfId="0" applyNumberFormat="1"/>
    <xf numFmtId="164" fontId="0" fillId="0" borderId="0" xfId="0" applyNumberFormat="1"/>
    <xf numFmtId="44" fontId="0" fillId="0" borderId="0" xfId="1" applyFont="1" applyBorder="1"/>
    <xf numFmtId="10" fontId="0" fillId="0" borderId="0" xfId="0" applyNumberFormat="1"/>
    <xf numFmtId="10" fontId="2" fillId="0" borderId="0" xfId="2" applyNumberFormat="1" applyFont="1" applyBorder="1"/>
    <xf numFmtId="164" fontId="2" fillId="0" borderId="4" xfId="0" applyNumberFormat="1" applyFont="1" applyBorder="1"/>
    <xf numFmtId="0" fontId="6" fillId="0" borderId="0" xfId="0" applyFont="1"/>
    <xf numFmtId="10" fontId="0" fillId="0" borderId="0" xfId="2" applyNumberFormat="1" applyFont="1"/>
    <xf numFmtId="44" fontId="0" fillId="0" borderId="0" xfId="1" applyFont="1"/>
    <xf numFmtId="0" fontId="8" fillId="0" borderId="0" xfId="0" applyFont="1"/>
    <xf numFmtId="0" fontId="0" fillId="0" borderId="8" xfId="0" applyBorder="1"/>
    <xf numFmtId="0" fontId="0" fillId="0" borderId="1" xfId="0" applyBorder="1"/>
    <xf numFmtId="0" fontId="0" fillId="0" borderId="2" xfId="0" applyBorder="1"/>
    <xf numFmtId="10" fontId="0" fillId="0" borderId="0" xfId="2" applyNumberFormat="1" applyFont="1" applyBorder="1"/>
    <xf numFmtId="164" fontId="0" fillId="0" borderId="4" xfId="0" applyNumberFormat="1" applyBorder="1"/>
    <xf numFmtId="0" fontId="0" fillId="0" borderId="9" xfId="0" applyBorder="1"/>
    <xf numFmtId="0" fontId="0" fillId="0" borderId="10" xfId="0" applyBorder="1"/>
    <xf numFmtId="44" fontId="0" fillId="0" borderId="10" xfId="0" applyNumberFormat="1" applyBorder="1"/>
    <xf numFmtId="164" fontId="0" fillId="0" borderId="11" xfId="0" applyNumberFormat="1" applyBorder="1"/>
    <xf numFmtId="2" fontId="0" fillId="0" borderId="0" xfId="0" applyNumberFormat="1"/>
    <xf numFmtId="165" fontId="0" fillId="0" borderId="0" xfId="0" applyNumberFormat="1"/>
    <xf numFmtId="44" fontId="10" fillId="0" borderId="0" xfId="1" applyFont="1"/>
    <xf numFmtId="0" fontId="0" fillId="2" borderId="0" xfId="0" applyFill="1"/>
    <xf numFmtId="1" fontId="0" fillId="2" borderId="0" xfId="0" applyNumberFormat="1" applyFill="1"/>
    <xf numFmtId="10" fontId="0" fillId="2" borderId="0" xfId="2" applyNumberFormat="1" applyFont="1" applyFill="1"/>
    <xf numFmtId="0" fontId="12" fillId="3" borderId="0" xfId="0" applyFont="1" applyFill="1"/>
    <xf numFmtId="0" fontId="0" fillId="3" borderId="0" xfId="0" applyFill="1"/>
    <xf numFmtId="0" fontId="11" fillId="2" borderId="0" xfId="0" applyFont="1" applyFill="1" applyAlignment="1">
      <alignment horizontal="left"/>
    </xf>
    <xf numFmtId="0" fontId="13" fillId="3" borderId="0" xfId="0" applyFont="1" applyFill="1"/>
    <xf numFmtId="164" fontId="0" fillId="2" borderId="0" xfId="0" applyNumberFormat="1" applyFill="1"/>
    <xf numFmtId="164" fontId="12" fillId="3" borderId="0" xfId="0" applyNumberFormat="1" applyFont="1" applyFill="1"/>
    <xf numFmtId="0" fontId="12" fillId="3" borderId="0" xfId="0" applyFont="1" applyFill="1" applyAlignment="1">
      <alignment horizontal="center"/>
    </xf>
    <xf numFmtId="10" fontId="12" fillId="3" borderId="0" xfId="2" applyNumberFormat="1" applyFont="1" applyFill="1"/>
    <xf numFmtId="10" fontId="0" fillId="2" borderId="0" xfId="2" applyNumberFormat="1" applyFont="1" applyFill="1" applyAlignment="1">
      <alignment horizontal="right"/>
    </xf>
    <xf numFmtId="0" fontId="2" fillId="2" borderId="0" xfId="0" applyFont="1" applyFill="1"/>
    <xf numFmtId="44" fontId="9" fillId="2" borderId="0" xfId="0" applyNumberFormat="1" applyFont="1" applyFill="1"/>
    <xf numFmtId="10" fontId="9" fillId="2" borderId="0" xfId="0" applyNumberFormat="1" applyFont="1" applyFill="1"/>
    <xf numFmtId="0" fontId="14" fillId="2" borderId="0" xfId="0" applyFont="1" applyFill="1" applyAlignment="1">
      <alignment horizontal="left"/>
    </xf>
    <xf numFmtId="0" fontId="5" fillId="2" borderId="0" xfId="0" applyFont="1" applyFill="1" applyAlignment="1">
      <alignment vertical="top"/>
    </xf>
    <xf numFmtId="0" fontId="0" fillId="2" borderId="4" xfId="0" applyFill="1" applyBorder="1"/>
    <xf numFmtId="0" fontId="7" fillId="2" borderId="0" xfId="0" applyFont="1" applyFill="1"/>
    <xf numFmtId="2" fontId="0" fillId="2" borderId="0" xfId="0" applyNumberFormat="1" applyFill="1"/>
    <xf numFmtId="4" fontId="0" fillId="2" borderId="0" xfId="0" applyNumberFormat="1" applyFill="1"/>
    <xf numFmtId="0" fontId="0" fillId="2" borderId="1" xfId="0" applyFill="1" applyBorder="1"/>
    <xf numFmtId="0" fontId="0" fillId="2" borderId="8" xfId="0" applyFill="1" applyBorder="1"/>
    <xf numFmtId="0" fontId="0" fillId="2" borderId="2" xfId="0" applyFill="1" applyBorder="1"/>
    <xf numFmtId="0" fontId="0" fillId="2" borderId="3" xfId="0" applyFill="1" applyBorder="1"/>
    <xf numFmtId="167" fontId="0" fillId="2" borderId="4" xfId="0" applyNumberFormat="1" applyFill="1" applyBorder="1"/>
    <xf numFmtId="0" fontId="16" fillId="2" borderId="9" xfId="0" applyFont="1" applyFill="1" applyBorder="1"/>
    <xf numFmtId="2" fontId="16" fillId="2" borderId="10" xfId="1" applyNumberFormat="1" applyFont="1" applyFill="1" applyBorder="1"/>
    <xf numFmtId="0" fontId="0" fillId="2" borderId="11" xfId="0" applyFill="1" applyBorder="1"/>
    <xf numFmtId="0" fontId="17" fillId="2" borderId="0" xfId="0" applyFont="1" applyFill="1" applyAlignment="1">
      <alignment horizontal="center"/>
    </xf>
    <xf numFmtId="0" fontId="9" fillId="2" borderId="9" xfId="0" applyFont="1" applyFill="1" applyBorder="1"/>
    <xf numFmtId="0" fontId="9" fillId="2" borderId="10" xfId="0" applyFont="1" applyFill="1" applyBorder="1"/>
    <xf numFmtId="0" fontId="9" fillId="2" borderId="11" xfId="0" applyFont="1" applyFill="1" applyBorder="1"/>
    <xf numFmtId="0" fontId="0" fillId="0" borderId="6" xfId="0" applyBorder="1"/>
    <xf numFmtId="0" fontId="4" fillId="0" borderId="6" xfId="0" applyFont="1" applyBorder="1"/>
    <xf numFmtId="0" fontId="0" fillId="0" borderId="7" xfId="0" applyBorder="1"/>
    <xf numFmtId="164" fontId="0" fillId="0" borderId="7" xfId="0" applyNumberFormat="1" applyBorder="1"/>
    <xf numFmtId="44" fontId="0" fillId="0" borderId="7" xfId="0" applyNumberFormat="1" applyBorder="1"/>
    <xf numFmtId="10" fontId="0" fillId="0" borderId="7" xfId="0" applyNumberFormat="1" applyBorder="1"/>
    <xf numFmtId="10" fontId="2" fillId="0" borderId="7" xfId="2" applyNumberFormat="1" applyFont="1" applyFill="1" applyBorder="1"/>
    <xf numFmtId="10" fontId="15" fillId="0" borderId="0" xfId="2" applyNumberFormat="1" applyFont="1"/>
    <xf numFmtId="164" fontId="15" fillId="0" borderId="4" xfId="0" applyNumberFormat="1" applyFont="1" applyBorder="1"/>
    <xf numFmtId="164" fontId="15" fillId="0" borderId="5" xfId="0" applyNumberFormat="1" applyFont="1" applyBorder="1"/>
    <xf numFmtId="49" fontId="0" fillId="2" borderId="0" xfId="0" applyNumberFormat="1" applyFill="1"/>
    <xf numFmtId="166" fontId="0" fillId="2" borderId="0" xfId="0" applyNumberFormat="1" applyFill="1"/>
    <xf numFmtId="0" fontId="18" fillId="2" borderId="0" xfId="0" applyFont="1" applyFill="1" applyAlignment="1">
      <alignment horizontal="center"/>
    </xf>
    <xf numFmtId="0" fontId="0" fillId="0" borderId="4" xfId="0" applyBorder="1"/>
    <xf numFmtId="164" fontId="2" fillId="0" borderId="5" xfId="0" applyNumberFormat="1" applyFont="1" applyBorder="1"/>
    <xf numFmtId="0" fontId="19" fillId="0" borderId="0" xfId="0" applyFont="1"/>
    <xf numFmtId="44" fontId="0" fillId="0" borderId="0" xfId="1" applyFont="1" applyFill="1" applyBorder="1"/>
    <xf numFmtId="10" fontId="12" fillId="3" borderId="0" xfId="0" applyNumberFormat="1" applyFont="1" applyFill="1"/>
    <xf numFmtId="0" fontId="0" fillId="2" borderId="13" xfId="0" applyFill="1" applyBorder="1"/>
    <xf numFmtId="0" fontId="0" fillId="2" borderId="12" xfId="0" applyFill="1" applyBorder="1"/>
    <xf numFmtId="167" fontId="0" fillId="0" borderId="4" xfId="0" applyNumberFormat="1" applyBorder="1"/>
    <xf numFmtId="167" fontId="0" fillId="2" borderId="12" xfId="0" applyNumberFormat="1" applyFill="1" applyBorder="1"/>
  </cellXfs>
  <cellStyles count="3">
    <cellStyle name="Currency" xfId="1" builtinId="4"/>
    <cellStyle name="Normal" xfId="0" builtinId="0"/>
    <cellStyle name="Percent" xfId="2" builtinId="5"/>
  </cellStyles>
  <dxfs count="6">
    <dxf>
      <font>
        <b val="0"/>
        <i val="0"/>
        <color rgb="FF009B00"/>
      </font>
      <border>
        <left/>
        <right/>
        <top/>
        <bottom/>
        <vertical/>
        <horizontal/>
      </border>
    </dxf>
    <dxf>
      <font>
        <color rgb="FFA60012"/>
      </font>
    </dxf>
    <dxf>
      <font>
        <color rgb="FF009B00"/>
      </font>
    </dxf>
    <dxf>
      <font>
        <color rgb="FFA60012"/>
      </font>
    </dxf>
    <dxf>
      <font>
        <b/>
        <i val="0"/>
        <color rgb="FF009B00"/>
      </font>
    </dxf>
    <dxf>
      <font>
        <b/>
        <i val="0"/>
        <color rgb="FFFF0000"/>
      </font>
    </dxf>
  </dxfs>
  <tableStyles count="0" defaultTableStyle="TableStyleMedium2" defaultPivotStyle="PivotStyleLight16"/>
  <colors>
    <mruColors>
      <color rgb="FFAB7942"/>
      <color rgb="FF002674"/>
      <color rgb="FF009B00"/>
      <color rgb="FFA60012"/>
      <color rgb="FF00E600"/>
      <color rgb="FFFF7E79"/>
      <color rgb="FF00CE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9-DB30-E249-AF00-DAAD2EFBA72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2B0-184E-889D-B869DD327413}"/>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4-DB30-E249-AF00-DAAD2EFBA72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DB30-E249-AF00-DAAD2EFBA729}"/>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DB30-E249-AF00-DAAD2EFBA729}"/>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C2B0-184E-889D-B869DD327413}"/>
              </c:ext>
            </c:extLst>
          </c:dPt>
          <c:dPt>
            <c:idx val="6"/>
            <c:bubble3D val="0"/>
            <c:spPr>
              <a:solidFill>
                <a:srgbClr val="00B0F0"/>
              </a:solidFill>
              <a:ln w="19050">
                <a:solidFill>
                  <a:schemeClr val="lt1"/>
                </a:solidFill>
              </a:ln>
              <a:effectLst/>
            </c:spPr>
            <c:extLst>
              <c:ext xmlns:c16="http://schemas.microsoft.com/office/drawing/2014/chart" uri="{C3380CC4-5D6E-409C-BE32-E72D297353CC}">
                <c16:uniqueId val="{0000000D-C2B0-184E-889D-B869DD327413}"/>
              </c:ext>
            </c:extLst>
          </c:dPt>
          <c:dPt>
            <c:idx val="7"/>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6-DB30-E249-AF00-DAAD2EFBA729}"/>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5-DB30-E249-AF00-DAAD2EFBA729}"/>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C2B0-184E-889D-B869DD327413}"/>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C2B0-184E-889D-B869DD327413}"/>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07-DB30-E249-AF00-DAAD2EFBA729}"/>
              </c:ext>
            </c:extLst>
          </c:dPt>
          <c:dPt>
            <c:idx val="12"/>
            <c:bubble3D val="0"/>
            <c:spPr>
              <a:solidFill>
                <a:srgbClr val="FF7E79"/>
              </a:solidFill>
              <a:ln w="19050">
                <a:solidFill>
                  <a:schemeClr val="lt1"/>
                </a:solidFill>
              </a:ln>
              <a:effectLst/>
            </c:spPr>
            <c:extLst>
              <c:ext xmlns:c16="http://schemas.microsoft.com/office/drawing/2014/chart" uri="{C3380CC4-5D6E-409C-BE32-E72D297353CC}">
                <c16:uniqueId val="{00000008-DB30-E249-AF00-DAAD2EFBA729}"/>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D703-2A43-A20D-C94479F5E0DE}"/>
              </c:ext>
            </c:extLst>
          </c:dPt>
          <c:dPt>
            <c:idx val="14"/>
            <c:bubble3D val="0"/>
            <c:spPr>
              <a:solidFill>
                <a:srgbClr val="C00000"/>
              </a:solidFill>
              <a:ln w="19050">
                <a:solidFill>
                  <a:schemeClr val="lt1"/>
                </a:solidFill>
              </a:ln>
              <a:effectLst/>
            </c:spPr>
            <c:extLst>
              <c:ext xmlns:c16="http://schemas.microsoft.com/office/drawing/2014/chart" uri="{C3380CC4-5D6E-409C-BE32-E72D297353CC}">
                <c16:uniqueId val="{0000001A-51FE-3B4E-8B57-4DF4828AD040}"/>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D703-2A43-A20D-C94479F5E0DE}"/>
              </c:ext>
            </c:extLst>
          </c:dPt>
          <c:dPt>
            <c:idx val="16"/>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1-D703-2A43-A20D-C94479F5E0DE}"/>
              </c:ext>
            </c:extLst>
          </c:dPt>
          <c:dLbls>
            <c:dLbl>
              <c:idx val="0"/>
              <c:layout>
                <c:manualLayout>
                  <c:x val="-1.1282669470876401E-2"/>
                  <c:y val="8.678299634656220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B30-E249-AF00-DAAD2EFBA729}"/>
                </c:ext>
              </c:extLst>
            </c:dLbl>
            <c:dLbl>
              <c:idx val="2"/>
              <c:layout>
                <c:manualLayout>
                  <c:x val="-4.4669009207725253E-3"/>
                  <c:y val="3.15826344491748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30-E249-AF00-DAAD2EFBA729}"/>
                </c:ext>
              </c:extLst>
            </c:dLbl>
            <c:dLbl>
              <c:idx val="3"/>
              <c:layout>
                <c:manualLayout>
                  <c:x val="4.3549719151553656E-3"/>
                  <c:y val="4.08040201005025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30-E249-AF00-DAAD2EFBA729}"/>
                </c:ext>
              </c:extLst>
            </c:dLbl>
            <c:dLbl>
              <c:idx val="4"/>
              <c:layout>
                <c:manualLayout>
                  <c:x val="-9.7844707174682022E-2"/>
                  <c:y val="-8.99437313866162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30-E249-AF00-DAAD2EFBA729}"/>
                </c:ext>
              </c:extLst>
            </c:dLbl>
            <c:dLbl>
              <c:idx val="5"/>
              <c:layout>
                <c:manualLayout>
                  <c:x val="-1.6497270372772856E-2"/>
                  <c:y val="-0.1151575811980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2B0-184E-889D-B869DD327413}"/>
                </c:ext>
              </c:extLst>
            </c:dLbl>
            <c:dLbl>
              <c:idx val="7"/>
              <c:layout>
                <c:manualLayout>
                  <c:x val="2.1136217907614489E-3"/>
                  <c:y val="1.19262981574539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B30-E249-AF00-DAAD2EFBA729}"/>
                </c:ext>
              </c:extLst>
            </c:dLbl>
            <c:dLbl>
              <c:idx val="8"/>
              <c:layout>
                <c:manualLayout>
                  <c:x val="5.0972325527712465E-3"/>
                  <c:y val="2.39219720650495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30-E249-AF00-DAAD2EFBA729}"/>
                </c:ext>
              </c:extLst>
            </c:dLbl>
            <c:dLbl>
              <c:idx val="9"/>
              <c:layout>
                <c:manualLayout>
                  <c:x val="-1.0021288055605906E-3"/>
                  <c:y val="1.81574539363484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C2B0-184E-889D-B869DD327413}"/>
                </c:ext>
              </c:extLst>
            </c:dLbl>
            <c:dLbl>
              <c:idx val="11"/>
              <c:layout>
                <c:manualLayout>
                  <c:x val="5.4562525745616736E-2"/>
                  <c:y val="-1.54716042061063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30-E249-AF00-DAAD2EFBA729}"/>
                </c:ext>
              </c:extLst>
            </c:dLbl>
            <c:dLbl>
              <c:idx val="12"/>
              <c:layout>
                <c:manualLayout>
                  <c:x val="2.8739388032521036E-3"/>
                  <c:y val="1.22464438780595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B30-E249-AF00-DAAD2EFBA729}"/>
                </c:ext>
              </c:extLst>
            </c:dLbl>
            <c:dLbl>
              <c:idx val="15"/>
              <c:layout>
                <c:manualLayout>
                  <c:x val="1.0021463881597152E-2"/>
                  <c:y val="1.9731014636920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D703-2A43-A20D-C94479F5E0DE}"/>
                </c:ext>
              </c:extLst>
            </c:dLbl>
            <c:dLbl>
              <c:idx val="16"/>
              <c:layout>
                <c:manualLayout>
                  <c:x val="9.9655155993940165E-3"/>
                  <c:y val="1.95144760534566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D703-2A43-A20D-C94479F5E0D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'DVF Tracker'!$C$4:$C$20</c:f>
              <c:strCache>
                <c:ptCount val="17"/>
                <c:pt idx="0">
                  <c:v>ASTS</c:v>
                </c:pt>
                <c:pt idx="1">
                  <c:v>BKNG</c:v>
                </c:pt>
                <c:pt idx="2">
                  <c:v>BLK</c:v>
                </c:pt>
                <c:pt idx="3">
                  <c:v>COP</c:v>
                </c:pt>
                <c:pt idx="4">
                  <c:v>DSI</c:v>
                </c:pt>
                <c:pt idx="5">
                  <c:v>GOOG</c:v>
                </c:pt>
                <c:pt idx="6">
                  <c:v>MSFT</c:v>
                </c:pt>
                <c:pt idx="7">
                  <c:v>NKE</c:v>
                </c:pt>
                <c:pt idx="8">
                  <c:v>NVDA</c:v>
                </c:pt>
                <c:pt idx="9">
                  <c:v>PG</c:v>
                </c:pt>
                <c:pt idx="10">
                  <c:v>PYPL</c:v>
                </c:pt>
                <c:pt idx="11">
                  <c:v>RTX</c:v>
                </c:pt>
                <c:pt idx="12">
                  <c:v>V</c:v>
                </c:pt>
                <c:pt idx="13">
                  <c:v>META</c:v>
                </c:pt>
                <c:pt idx="14">
                  <c:v>ORCL</c:v>
                </c:pt>
                <c:pt idx="15">
                  <c:v>APH</c:v>
                </c:pt>
                <c:pt idx="16">
                  <c:v>COST</c:v>
                </c:pt>
              </c:strCache>
            </c:strRef>
          </c:cat>
          <c:val>
            <c:numRef>
              <c:f>'DVF Tracker'!$F$4:$F$20</c:f>
              <c:numCache>
                <c:formatCode>_([$$-409]* #,##0.00_);_([$$-409]* \(#,##0.00\);_([$$-409]* "-"??_);_(@_)</c:formatCode>
                <c:ptCount val="17"/>
                <c:pt idx="0">
                  <c:v>102734.5</c:v>
                </c:pt>
                <c:pt idx="1">
                  <c:v>49269</c:v>
                </c:pt>
                <c:pt idx="2">
                  <c:v>69843.899999999994</c:v>
                </c:pt>
                <c:pt idx="3">
                  <c:v>77181</c:v>
                </c:pt>
                <c:pt idx="4">
                  <c:v>470606</c:v>
                </c:pt>
                <c:pt idx="5">
                  <c:v>143856</c:v>
                </c:pt>
                <c:pt idx="6">
                  <c:v>67785.316500000001</c:v>
                </c:pt>
                <c:pt idx="7">
                  <c:v>36885.75</c:v>
                </c:pt>
                <c:pt idx="8">
                  <c:v>125442</c:v>
                </c:pt>
                <c:pt idx="9">
                  <c:v>46518.400000000001</c:v>
                </c:pt>
                <c:pt idx="10">
                  <c:v>38732.699999999997</c:v>
                </c:pt>
                <c:pt idx="11">
                  <c:v>111865.62500000001</c:v>
                </c:pt>
                <c:pt idx="12">
                  <c:v>57611.7</c:v>
                </c:pt>
                <c:pt idx="13">
                  <c:v>76491.025000000009</c:v>
                </c:pt>
                <c:pt idx="14">
                  <c:v>102604.79999999999</c:v>
                </c:pt>
                <c:pt idx="15">
                  <c:v>80444</c:v>
                </c:pt>
                <c:pt idx="16">
                  <c:v>81737.039999999994</c:v>
                </c:pt>
              </c:numCache>
            </c:numRef>
          </c:val>
          <c:extLst>
            <c:ext xmlns:c16="http://schemas.microsoft.com/office/drawing/2014/chart" uri="{C3380CC4-5D6E-409C-BE32-E72D297353CC}">
              <c16:uniqueId val="{00000000-DB30-E249-AF00-DAAD2EFBA729}"/>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rtl="0">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YTD Gain Comparison</c:v>
          </c:tx>
          <c:spPr>
            <a:solidFill>
              <a:srgbClr val="A60012"/>
            </a:solidFill>
            <a:ln>
              <a:noFill/>
            </a:ln>
            <a:effectLst/>
          </c:spPr>
          <c:invertIfNegative val="0"/>
          <c:dPt>
            <c:idx val="0"/>
            <c:invertIfNegative val="0"/>
            <c:bubble3D val="0"/>
            <c:spPr>
              <a:solidFill>
                <a:srgbClr val="002674"/>
              </a:solidFill>
              <a:ln>
                <a:noFill/>
              </a:ln>
              <a:effectLst/>
            </c:spPr>
            <c:extLst>
              <c:ext xmlns:c16="http://schemas.microsoft.com/office/drawing/2014/chart" uri="{C3380CC4-5D6E-409C-BE32-E72D297353CC}">
                <c16:uniqueId val="{00000001-C89E-FA40-8901-CBBC1FC6AFD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Gains, ETC 2026'!$R$19:$R$22</c:f>
              <c:strCache>
                <c:ptCount val="4"/>
                <c:pt idx="0">
                  <c:v>DVF</c:v>
                </c:pt>
                <c:pt idx="1">
                  <c:v>DSI</c:v>
                </c:pt>
                <c:pt idx="2">
                  <c:v>SPY</c:v>
                </c:pt>
                <c:pt idx="3">
                  <c:v>QQQ</c:v>
                </c:pt>
              </c:strCache>
            </c:strRef>
          </c:cat>
          <c:val>
            <c:numRef>
              <c:f>'YTD Gains, ETC 2026'!$S$19:$S$22</c:f>
              <c:numCache>
                <c:formatCode>0.00%</c:formatCode>
                <c:ptCount val="4"/>
                <c:pt idx="0">
                  <c:v>2.3331389095836652E-2</c:v>
                </c:pt>
                <c:pt idx="1">
                  <c:v>9.3689358068772766E-2</c:v>
                </c:pt>
                <c:pt idx="2">
                  <c:v>8.9834584702017883E-2</c:v>
                </c:pt>
                <c:pt idx="3">
                  <c:v>0.17320245478667129</c:v>
                </c:pt>
              </c:numCache>
            </c:numRef>
          </c:val>
          <c:extLst>
            <c:ext xmlns:c16="http://schemas.microsoft.com/office/drawing/2014/chart" uri="{C3380CC4-5D6E-409C-BE32-E72D297353CC}">
              <c16:uniqueId val="{00000002-C89E-FA40-8901-CBBC1FC6AFD4}"/>
            </c:ext>
          </c:extLst>
        </c:ser>
        <c:dLbls>
          <c:showLegendKey val="0"/>
          <c:showVal val="0"/>
          <c:showCatName val="0"/>
          <c:showSerName val="0"/>
          <c:showPercent val="0"/>
          <c:showBubbleSize val="0"/>
        </c:dLbls>
        <c:gapWidth val="130"/>
        <c:overlap val="-27"/>
        <c:axId val="253851408"/>
        <c:axId val="253876144"/>
      </c:barChart>
      <c:catAx>
        <c:axId val="2538514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53876144"/>
        <c:crosses val="autoZero"/>
        <c:auto val="1"/>
        <c:lblAlgn val="ctr"/>
        <c:lblOffset val="50"/>
        <c:noMultiLvlLbl val="0"/>
      </c:catAx>
      <c:valAx>
        <c:axId val="253876144"/>
        <c:scaling>
          <c:orientation val="minMax"/>
        </c:scaling>
        <c:delete val="0"/>
        <c:axPos val="l"/>
        <c:majorGridlines>
          <c:spPr>
            <a:ln w="9525" cap="flat" cmpd="sng" algn="ctr">
              <a:solidFill>
                <a:schemeClr val="bg1">
                  <a:lumMod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538514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'DVF Tracker'!$T$3</c:f>
              <c:strCache>
                <c:ptCount val="1"/>
                <c:pt idx="0">
                  <c:v>Beta Vs S&amp;P</c:v>
                </c:pt>
              </c:strCache>
            </c:strRef>
          </c:tx>
          <c:spPr>
            <a:ln w="38100" cap="rnd">
              <a:noFill/>
              <a:round/>
            </a:ln>
            <a:effectLst/>
          </c:spPr>
          <c:marker>
            <c:symbol val="circle"/>
            <c:size val="7"/>
            <c:spPr>
              <a:solidFill>
                <a:srgbClr val="C00000"/>
              </a:solidFill>
              <a:ln w="9525">
                <a:noFill/>
              </a:ln>
              <a:effectLst/>
            </c:spPr>
          </c:marker>
          <c:xVal>
            <c:strRef>
              <c:f>'DVF Tracker'!$S$4:$S$20</c:f>
              <c:strCache>
                <c:ptCount val="17"/>
                <c:pt idx="0">
                  <c:v>ASTS</c:v>
                </c:pt>
                <c:pt idx="1">
                  <c:v>BKNG</c:v>
                </c:pt>
                <c:pt idx="2">
                  <c:v>BLK</c:v>
                </c:pt>
                <c:pt idx="3">
                  <c:v>COP</c:v>
                </c:pt>
                <c:pt idx="4">
                  <c:v>DSI</c:v>
                </c:pt>
                <c:pt idx="5">
                  <c:v>GOOG</c:v>
                </c:pt>
                <c:pt idx="6">
                  <c:v>MSFT</c:v>
                </c:pt>
                <c:pt idx="7">
                  <c:v>NKE</c:v>
                </c:pt>
                <c:pt idx="8">
                  <c:v>NVDA</c:v>
                </c:pt>
                <c:pt idx="9">
                  <c:v>PG</c:v>
                </c:pt>
                <c:pt idx="10">
                  <c:v>PYPL</c:v>
                </c:pt>
                <c:pt idx="11">
                  <c:v>RTX</c:v>
                </c:pt>
                <c:pt idx="12">
                  <c:v>V</c:v>
                </c:pt>
                <c:pt idx="13">
                  <c:v>META</c:v>
                </c:pt>
                <c:pt idx="14">
                  <c:v>ORCL</c:v>
                </c:pt>
                <c:pt idx="15">
                  <c:v>APH</c:v>
                </c:pt>
                <c:pt idx="16">
                  <c:v>COST</c:v>
                </c:pt>
              </c:strCache>
            </c:strRef>
          </c:xVal>
          <c:yVal>
            <c:numRef>
              <c:f>'DVF Tracker'!$T$4:$T$20</c:f>
              <c:numCache>
                <c:formatCode>#,##0.00</c:formatCode>
                <c:ptCount val="17"/>
                <c:pt idx="0">
                  <c:v>2.6846000000000001</c:v>
                </c:pt>
                <c:pt idx="1">
                  <c:v>1.0831</c:v>
                </c:pt>
                <c:pt idx="2">
                  <c:v>1.4343999999999999</c:v>
                </c:pt>
                <c:pt idx="3">
                  <c:v>0.1007</c:v>
                </c:pt>
                <c:pt idx="4">
                  <c:v>1.1041000000000001</c:v>
                </c:pt>
                <c:pt idx="5">
                  <c:v>1.2397</c:v>
                </c:pt>
                <c:pt idx="6">
                  <c:v>1.1158999999999999</c:v>
                </c:pt>
                <c:pt idx="7">
                  <c:v>1.1197999999999999</c:v>
                </c:pt>
                <c:pt idx="8">
                  <c:v>2.2010999999999998</c:v>
                </c:pt>
                <c:pt idx="9">
                  <c:v>0.37519999999999998</c:v>
                </c:pt>
                <c:pt idx="10">
                  <c:v>1.3365</c:v>
                </c:pt>
                <c:pt idx="11">
                  <c:v>0.30520000000000003</c:v>
                </c:pt>
                <c:pt idx="12">
                  <c:v>0.76129999999999998</c:v>
                </c:pt>
                <c:pt idx="13">
                  <c:v>1.2386999999999999</c:v>
                </c:pt>
                <c:pt idx="14">
                  <c:v>1.6594</c:v>
                </c:pt>
                <c:pt idx="15">
                  <c:v>1.2886</c:v>
                </c:pt>
                <c:pt idx="16">
                  <c:v>0.86629999999999996</c:v>
                </c:pt>
              </c:numCache>
            </c:numRef>
          </c:yVal>
          <c:smooth val="0"/>
          <c:extLst>
            <c:ext xmlns:c16="http://schemas.microsoft.com/office/drawing/2014/chart" uri="{C3380CC4-5D6E-409C-BE32-E72D297353CC}">
              <c16:uniqueId val="{00000000-9EF0-457D-9607-4B405C4CB784}"/>
            </c:ext>
          </c:extLst>
        </c:ser>
        <c:dLbls>
          <c:showLegendKey val="0"/>
          <c:showVal val="0"/>
          <c:showCatName val="0"/>
          <c:showSerName val="0"/>
          <c:showPercent val="0"/>
          <c:showBubbleSize val="0"/>
        </c:dLbls>
        <c:axId val="1690680912"/>
        <c:axId val="1690678032"/>
      </c:scatterChart>
      <c:valAx>
        <c:axId val="1690680912"/>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690678032"/>
        <c:crosses val="autoZero"/>
        <c:crossBetween val="midCat"/>
      </c:valAx>
      <c:valAx>
        <c:axId val="1690678032"/>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0680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1" i="0" u="none" strike="noStrike" kern="1200" spc="0" normalizeH="0" baseline="0">
              <a:solidFill>
                <a:schemeClr val="tx1"/>
              </a:solidFill>
              <a:latin typeface="+mj-lt"/>
              <a:ea typeface="+mj-ea"/>
              <a:cs typeface="+mj-cs"/>
            </a:defRPr>
          </a:pPr>
          <a:endParaRPr lang="en-US"/>
        </a:p>
      </c:txPr>
    </c:title>
    <c:autoTitleDeleted val="0"/>
    <c:view3D>
      <c:rotX val="9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Portfolio By Sector Allocations</c:v>
          </c:tx>
          <c:explosion val="1"/>
          <c:dPt>
            <c:idx val="0"/>
            <c:bubble3D val="0"/>
            <c:spPr>
              <a:solidFill>
                <a:srgbClr val="00B0F0"/>
              </a:solidFill>
              <a:ln w="50800">
                <a:solidFill>
                  <a:schemeClr val="lt1"/>
                </a:solidFill>
              </a:ln>
              <a:effectLst/>
              <a:sp3d contourW="50800">
                <a:contourClr>
                  <a:schemeClr val="lt1"/>
                </a:contourClr>
              </a:sp3d>
            </c:spPr>
            <c:extLst>
              <c:ext xmlns:c16="http://schemas.microsoft.com/office/drawing/2014/chart" uri="{C3380CC4-5D6E-409C-BE32-E72D297353CC}">
                <c16:uniqueId val="{00000007-EF25-AE47-AFB5-5D67B7FBE23A}"/>
              </c:ext>
            </c:extLst>
          </c:dPt>
          <c:dPt>
            <c:idx val="1"/>
            <c:bubble3D val="0"/>
            <c:spPr>
              <a:solidFill>
                <a:schemeClr val="accent6"/>
              </a:solidFill>
              <a:ln w="50800">
                <a:solidFill>
                  <a:schemeClr val="lt1"/>
                </a:solidFill>
              </a:ln>
              <a:effectLst/>
              <a:sp3d contourW="50800">
                <a:contourClr>
                  <a:schemeClr val="lt1"/>
                </a:contourClr>
              </a:sp3d>
            </c:spPr>
            <c:extLst>
              <c:ext xmlns:c16="http://schemas.microsoft.com/office/drawing/2014/chart" uri="{C3380CC4-5D6E-409C-BE32-E72D297353CC}">
                <c16:uniqueId val="{00000009-EF25-AE47-AFB5-5D67B7FBE23A}"/>
              </c:ext>
            </c:extLst>
          </c:dPt>
          <c:dPt>
            <c:idx val="2"/>
            <c:bubble3D val="0"/>
            <c:spPr>
              <a:solidFill>
                <a:srgbClr val="AB7942"/>
              </a:solidFill>
              <a:ln w="50800">
                <a:solidFill>
                  <a:schemeClr val="lt1"/>
                </a:solidFill>
              </a:ln>
              <a:effectLst/>
              <a:sp3d contourW="50800">
                <a:contourClr>
                  <a:schemeClr val="lt1"/>
                </a:contourClr>
              </a:sp3d>
            </c:spPr>
            <c:extLst>
              <c:ext xmlns:c16="http://schemas.microsoft.com/office/drawing/2014/chart" uri="{C3380CC4-5D6E-409C-BE32-E72D297353CC}">
                <c16:uniqueId val="{0000000A-EF25-AE47-AFB5-5D67B7FBE23A}"/>
              </c:ext>
            </c:extLst>
          </c:dPt>
          <c:dPt>
            <c:idx val="3"/>
            <c:bubble3D val="0"/>
            <c:spPr>
              <a:solidFill>
                <a:schemeClr val="accent6">
                  <a:lumMod val="40000"/>
                  <a:lumOff val="60000"/>
                </a:schemeClr>
              </a:solidFill>
              <a:ln w="50800">
                <a:solidFill>
                  <a:schemeClr val="lt1"/>
                </a:solidFill>
              </a:ln>
              <a:effectLst/>
              <a:sp3d contourW="50800">
                <a:contourClr>
                  <a:schemeClr val="lt1"/>
                </a:contourClr>
              </a:sp3d>
            </c:spPr>
            <c:extLst>
              <c:ext xmlns:c16="http://schemas.microsoft.com/office/drawing/2014/chart" uri="{C3380CC4-5D6E-409C-BE32-E72D297353CC}">
                <c16:uniqueId val="{0000000B-EF25-AE47-AFB5-5D67B7FBE23A}"/>
              </c:ext>
            </c:extLst>
          </c:dPt>
          <c:dPt>
            <c:idx val="4"/>
            <c:bubble3D val="0"/>
            <c:spPr>
              <a:solidFill>
                <a:srgbClr val="C00000"/>
              </a:solidFill>
              <a:ln w="50800">
                <a:solidFill>
                  <a:schemeClr val="lt1"/>
                </a:solidFill>
              </a:ln>
              <a:effectLst/>
              <a:sp3d contourW="50800">
                <a:contourClr>
                  <a:schemeClr val="lt1"/>
                </a:contourClr>
              </a:sp3d>
            </c:spPr>
            <c:extLst>
              <c:ext xmlns:c16="http://schemas.microsoft.com/office/drawing/2014/chart" uri="{C3380CC4-5D6E-409C-BE32-E72D297353CC}">
                <c16:uniqueId val="{0000000C-EF25-AE47-AFB5-5D67B7FBE23A}"/>
              </c:ext>
            </c:extLst>
          </c:dPt>
          <c:dPt>
            <c:idx val="5"/>
            <c:bubble3D val="0"/>
            <c:spPr>
              <a:solidFill>
                <a:schemeClr val="accent5">
                  <a:lumMod val="75000"/>
                </a:schemeClr>
              </a:solidFill>
              <a:ln w="50800">
                <a:solidFill>
                  <a:schemeClr val="lt1"/>
                </a:solidFill>
              </a:ln>
              <a:effectLst/>
              <a:sp3d contourW="50800">
                <a:contourClr>
                  <a:schemeClr val="lt1"/>
                </a:contourClr>
              </a:sp3d>
            </c:spPr>
            <c:extLst>
              <c:ext xmlns:c16="http://schemas.microsoft.com/office/drawing/2014/chart" uri="{C3380CC4-5D6E-409C-BE32-E72D297353CC}">
                <c16:uniqueId val="{0000000D-EF25-AE47-AFB5-5D67B7FBE23A}"/>
              </c:ext>
            </c:extLst>
          </c:dPt>
          <c:dPt>
            <c:idx val="6"/>
            <c:bubble3D val="0"/>
            <c:spPr>
              <a:solidFill>
                <a:schemeClr val="accent2"/>
              </a:solidFill>
              <a:ln w="50800">
                <a:solidFill>
                  <a:schemeClr val="lt1"/>
                </a:solidFill>
              </a:ln>
              <a:effectLst/>
              <a:sp3d contourW="50800">
                <a:contourClr>
                  <a:schemeClr val="lt1"/>
                </a:contourClr>
              </a:sp3d>
            </c:spPr>
            <c:extLst>
              <c:ext xmlns:c16="http://schemas.microsoft.com/office/drawing/2014/chart" uri="{C3380CC4-5D6E-409C-BE32-E72D297353CC}">
                <c16:uniqueId val="{0000000E-EF25-AE47-AFB5-5D67B7FBE23A}"/>
              </c:ext>
            </c:extLst>
          </c:dPt>
          <c:dPt>
            <c:idx val="7"/>
            <c:bubble3D val="0"/>
            <c:spPr>
              <a:solidFill>
                <a:schemeClr val="tx1"/>
              </a:solidFill>
              <a:ln w="50800">
                <a:solidFill>
                  <a:schemeClr val="lt1"/>
                </a:solidFill>
              </a:ln>
              <a:effectLst/>
              <a:sp3d contourW="50800">
                <a:contourClr>
                  <a:schemeClr val="lt1"/>
                </a:contourClr>
              </a:sp3d>
            </c:spPr>
            <c:extLst>
              <c:ext xmlns:c16="http://schemas.microsoft.com/office/drawing/2014/chart" uri="{C3380CC4-5D6E-409C-BE32-E72D297353CC}">
                <c16:uniqueId val="{00000006-EF25-AE47-AFB5-5D67B7FBE23A}"/>
              </c:ext>
            </c:extLst>
          </c:dPt>
          <c:dLbls>
            <c:dLbl>
              <c:idx val="7"/>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EF25-AE47-AFB5-5D67B7FBE23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('DVF Tracker'!$C$46,'DVF Tracker'!$C$52,'DVF Tracker'!$C$55,'DVF Tracker'!$C$57,'DVF Tracker'!$C$59,'DVF Tracker'!$C$63,'DVF Tracker'!$C$66,'DVF Tracker'!$C$69)</c:f>
              <c:strCache>
                <c:ptCount val="8"/>
                <c:pt idx="0">
                  <c:v>Technology</c:v>
                </c:pt>
                <c:pt idx="1">
                  <c:v>Communications Services</c:v>
                </c:pt>
                <c:pt idx="2">
                  <c:v>Industrials</c:v>
                </c:pt>
                <c:pt idx="3">
                  <c:v>Energy</c:v>
                </c:pt>
                <c:pt idx="4">
                  <c:v>Financial Services</c:v>
                </c:pt>
                <c:pt idx="5">
                  <c:v>Consumer Cyclical</c:v>
                </c:pt>
                <c:pt idx="6">
                  <c:v>Consumer Defensive</c:v>
                </c:pt>
                <c:pt idx="7">
                  <c:v>ETF / Cash</c:v>
                </c:pt>
              </c:strCache>
            </c:strRef>
          </c:cat>
          <c:val>
            <c:numRef>
              <c:f>('DVF Tracker'!$H$46,'DVF Tracker'!$H$52,'DVF Tracker'!$H$55,'DVF Tracker'!$H$57,'DVF Tracker'!$H$59,'DVF Tracker'!$H$63,'DVF Tracker'!$H$66,'DVF Tracker'!$H$69)</c:f>
              <c:numCache>
                <c:formatCode>0.00%</c:formatCode>
                <c:ptCount val="8"/>
                <c:pt idx="0">
                  <c:v>0.27535537212616923</c:v>
                </c:pt>
                <c:pt idx="1">
                  <c:v>0.12666470215022743</c:v>
                </c:pt>
                <c:pt idx="2">
                  <c:v>6.4305048236862006E-2</c:v>
                </c:pt>
                <c:pt idx="3">
                  <c:v>4.4366872557760666E-2</c:v>
                </c:pt>
                <c:pt idx="4">
                  <c:v>9.5531997858163228E-2</c:v>
                </c:pt>
                <c:pt idx="5">
                  <c:v>4.9525360043219585E-2</c:v>
                </c:pt>
                <c:pt idx="6">
                  <c:v>7.37266006053241E-2</c:v>
                </c:pt>
                <c:pt idx="7">
                  <c:v>0.27052404642227379</c:v>
                </c:pt>
              </c:numCache>
            </c:numRef>
          </c:val>
          <c:extLst>
            <c:ext xmlns:c16="http://schemas.microsoft.com/office/drawing/2014/chart" uri="{C3380CC4-5D6E-409C-BE32-E72D297353CC}">
              <c16:uniqueId val="{00000000-EF25-AE47-AFB5-5D67B7FBE23A}"/>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000" b="1">
                <a:solidFill>
                  <a:schemeClr val="tx1"/>
                </a:solidFill>
                <a:latin typeface="Times New Roman" panose="02020603050405020304" pitchFamily="18" charset="0"/>
                <a:cs typeface="Times New Roman" panose="02020603050405020304" pitchFamily="18" charset="0"/>
              </a:rPr>
              <a:t>YTD</a:t>
            </a:r>
            <a:r>
              <a:rPr lang="en-US" sz="2000" b="1" baseline="0">
                <a:solidFill>
                  <a:schemeClr val="tx1"/>
                </a:solidFill>
                <a:latin typeface="Times New Roman" panose="02020603050405020304" pitchFamily="18" charset="0"/>
                <a:cs typeface="Times New Roman" panose="02020603050405020304" pitchFamily="18" charset="0"/>
              </a:rPr>
              <a:t> % Gains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4EA72E"/>
            </a:solidFill>
            <a:ln>
              <a:noFill/>
            </a:ln>
            <a:effectLst/>
          </c:spPr>
          <c:invertIfNegative val="1"/>
          <c:dPt>
            <c:idx val="4"/>
            <c:invertIfNegative val="1"/>
            <c:bubble3D val="0"/>
            <c:spPr>
              <a:solidFill>
                <a:schemeClr val="tx1"/>
              </a:solidFill>
              <a:ln w="15875">
                <a:solidFill>
                  <a:schemeClr val="tx1"/>
                </a:solidFill>
              </a:ln>
              <a:effectLst/>
            </c:spPr>
            <c:extLst>
              <c:ext xmlns:c16="http://schemas.microsoft.com/office/drawing/2014/chart" uri="{C3380CC4-5D6E-409C-BE32-E72D297353CC}">
                <c16:uniqueId val="{00000001-1B1F-1543-ADF5-7275FC6D0D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Gains, ETC 2026'!$C$4:$C$20</c:f>
              <c:strCache>
                <c:ptCount val="17"/>
                <c:pt idx="0">
                  <c:v>ASTS</c:v>
                </c:pt>
                <c:pt idx="1">
                  <c:v>BKNG</c:v>
                </c:pt>
                <c:pt idx="2">
                  <c:v>BLK</c:v>
                </c:pt>
                <c:pt idx="3">
                  <c:v>COP</c:v>
                </c:pt>
                <c:pt idx="4">
                  <c:v>DSI</c:v>
                </c:pt>
                <c:pt idx="5">
                  <c:v>GOOG</c:v>
                </c:pt>
                <c:pt idx="6">
                  <c:v>MSFT</c:v>
                </c:pt>
                <c:pt idx="7">
                  <c:v>NKE</c:v>
                </c:pt>
                <c:pt idx="8">
                  <c:v>NVDA</c:v>
                </c:pt>
                <c:pt idx="9">
                  <c:v>PG</c:v>
                </c:pt>
                <c:pt idx="10">
                  <c:v>PYPL</c:v>
                </c:pt>
                <c:pt idx="11">
                  <c:v>RTX</c:v>
                </c:pt>
                <c:pt idx="12">
                  <c:v>V</c:v>
                </c:pt>
                <c:pt idx="13">
                  <c:v>META</c:v>
                </c:pt>
                <c:pt idx="14">
                  <c:v>ORCL</c:v>
                </c:pt>
                <c:pt idx="15">
                  <c:v>APH</c:v>
                </c:pt>
                <c:pt idx="16">
                  <c:v>COST</c:v>
                </c:pt>
              </c:strCache>
            </c:strRef>
          </c:cat>
          <c:val>
            <c:numRef>
              <c:f>'YTD Gains, ETC 2026'!$I$4:$I$20</c:f>
              <c:numCache>
                <c:formatCode>0.00%</c:formatCode>
                <c:ptCount val="17"/>
                <c:pt idx="0">
                  <c:v>0.28590114277846612</c:v>
                </c:pt>
                <c:pt idx="1">
                  <c:v>-0.20761362539805073</c:v>
                </c:pt>
                <c:pt idx="2">
                  <c:v>-6.7800885699870972E-2</c:v>
                </c:pt>
                <c:pt idx="3">
                  <c:v>0.26845422497596405</c:v>
                </c:pt>
                <c:pt idx="4">
                  <c:v>9.3689358068772766E-2</c:v>
                </c:pt>
                <c:pt idx="5">
                  <c:v>0.14608030592734211</c:v>
                </c:pt>
                <c:pt idx="6">
                  <c:v>-0.15053120218353244</c:v>
                </c:pt>
                <c:pt idx="7">
                  <c:v>-0.31886673991524095</c:v>
                </c:pt>
                <c:pt idx="8">
                  <c:v>0.12101876675603207</c:v>
                </c:pt>
                <c:pt idx="9">
                  <c:v>1.4374433047240176E-2</c:v>
                </c:pt>
                <c:pt idx="10">
                  <c:v>-0.29419321685508737</c:v>
                </c:pt>
                <c:pt idx="11">
                  <c:v>-2.4073064340239814E-2</c:v>
                </c:pt>
                <c:pt idx="12">
                  <c:v>-8.7379886515924765E-2</c:v>
                </c:pt>
                <c:pt idx="13">
                  <c:v>-0.12640491143675847</c:v>
                </c:pt>
                <c:pt idx="14">
                  <c:v>0.20373915981529445</c:v>
                </c:pt>
                <c:pt idx="15">
                  <c:v>-4.5197740112994267E-2</c:v>
                </c:pt>
                <c:pt idx="16">
                  <c:v>-3.7298666350073284E-2</c:v>
                </c:pt>
              </c:numCache>
            </c:numRef>
          </c:val>
          <c:extLst>
            <c:ext xmlns:c14="http://schemas.microsoft.com/office/drawing/2007/8/2/chart" uri="{6F2FDCE9-48DA-4B69-8628-5D25D57E5C99}">
              <c14:invertSolidFillFmt>
                <c14:spPr xmlns:c14="http://schemas.microsoft.com/office/drawing/2007/8/2/chart">
                  <a:solidFill>
                    <a:srgbClr val="A60012"/>
                  </a:solidFill>
                  <a:ln>
                    <a:noFill/>
                  </a:ln>
                  <a:effectLst/>
                </c14:spPr>
              </c14:invertSolidFillFmt>
            </c:ext>
            <c:ext xmlns:c16="http://schemas.microsoft.com/office/drawing/2014/chart" uri="{C3380CC4-5D6E-409C-BE32-E72D297353CC}">
              <c16:uniqueId val="{00000000-1B1F-1543-ADF5-7275FC6D0D57}"/>
            </c:ext>
          </c:extLst>
        </c:ser>
        <c:dLbls>
          <c:showLegendKey val="0"/>
          <c:showVal val="0"/>
          <c:showCatName val="0"/>
          <c:showSerName val="0"/>
          <c:showPercent val="0"/>
          <c:showBubbleSize val="0"/>
        </c:dLbls>
        <c:gapWidth val="126"/>
        <c:overlap val="-5"/>
        <c:axId val="402272848"/>
        <c:axId val="520856368"/>
      </c:barChart>
      <c:catAx>
        <c:axId val="402272848"/>
        <c:scaling>
          <c:orientation val="minMax"/>
        </c:scaling>
        <c:delete val="1"/>
        <c:axPos val="b"/>
        <c:numFmt formatCode="General" sourceLinked="1"/>
        <c:majorTickMark val="none"/>
        <c:minorTickMark val="none"/>
        <c:tickLblPos val="nextTo"/>
        <c:crossAx val="520856368"/>
        <c:crosses val="autoZero"/>
        <c:auto val="1"/>
        <c:lblAlgn val="ctr"/>
        <c:lblOffset val="100"/>
        <c:noMultiLvlLbl val="0"/>
      </c:catAx>
      <c:valAx>
        <c:axId val="520856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02272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YTD Gain Comparison</c:v>
          </c:tx>
          <c:spPr>
            <a:solidFill>
              <a:srgbClr val="A60012"/>
            </a:solidFill>
            <a:ln>
              <a:noFill/>
            </a:ln>
            <a:effectLst/>
          </c:spPr>
          <c:invertIfNegative val="0"/>
          <c:dPt>
            <c:idx val="0"/>
            <c:invertIfNegative val="0"/>
            <c:bubble3D val="0"/>
            <c:spPr>
              <a:solidFill>
                <a:srgbClr val="002674"/>
              </a:solidFill>
              <a:ln>
                <a:noFill/>
              </a:ln>
              <a:effectLst/>
            </c:spPr>
            <c:extLst>
              <c:ext xmlns:c16="http://schemas.microsoft.com/office/drawing/2014/chart" uri="{C3380CC4-5D6E-409C-BE32-E72D297353CC}">
                <c16:uniqueId val="{00000001-D164-D445-A5B7-7BE1638372A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Gains, ETC 2026'!$R$19:$R$22</c:f>
              <c:strCache>
                <c:ptCount val="4"/>
                <c:pt idx="0">
                  <c:v>DVF</c:v>
                </c:pt>
                <c:pt idx="1">
                  <c:v>DSI</c:v>
                </c:pt>
                <c:pt idx="2">
                  <c:v>SPY</c:v>
                </c:pt>
                <c:pt idx="3">
                  <c:v>QQQ</c:v>
                </c:pt>
              </c:strCache>
            </c:strRef>
          </c:cat>
          <c:val>
            <c:numRef>
              <c:f>'YTD Gains, ETC 2026'!$S$19:$S$22</c:f>
              <c:numCache>
                <c:formatCode>0.00%</c:formatCode>
                <c:ptCount val="4"/>
                <c:pt idx="0">
                  <c:v>2.3331389095836652E-2</c:v>
                </c:pt>
                <c:pt idx="1">
                  <c:v>9.3689358068772766E-2</c:v>
                </c:pt>
                <c:pt idx="2">
                  <c:v>8.9834584702017883E-2</c:v>
                </c:pt>
                <c:pt idx="3">
                  <c:v>0.17320245478667129</c:v>
                </c:pt>
              </c:numCache>
            </c:numRef>
          </c:val>
          <c:extLst>
            <c:ext xmlns:c16="http://schemas.microsoft.com/office/drawing/2014/chart" uri="{C3380CC4-5D6E-409C-BE32-E72D297353CC}">
              <c16:uniqueId val="{00000000-D164-D445-A5B7-7BE1638372AF}"/>
            </c:ext>
          </c:extLst>
        </c:ser>
        <c:dLbls>
          <c:showLegendKey val="0"/>
          <c:showVal val="0"/>
          <c:showCatName val="0"/>
          <c:showSerName val="0"/>
          <c:showPercent val="0"/>
          <c:showBubbleSize val="0"/>
        </c:dLbls>
        <c:gapWidth val="150"/>
        <c:overlap val="-27"/>
        <c:axId val="253851408"/>
        <c:axId val="253876144"/>
      </c:barChart>
      <c:catAx>
        <c:axId val="2538514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53876144"/>
        <c:crosses val="autoZero"/>
        <c:auto val="1"/>
        <c:lblAlgn val="ctr"/>
        <c:lblOffset val="100"/>
        <c:noMultiLvlLbl val="0"/>
      </c:catAx>
      <c:valAx>
        <c:axId val="253876144"/>
        <c:scaling>
          <c:orientation val="minMax"/>
        </c:scaling>
        <c:delete val="0"/>
        <c:axPos val="l"/>
        <c:majorGridlines>
          <c:spPr>
            <a:ln w="9525" cap="flat" cmpd="sng" algn="ctr">
              <a:solidFill>
                <a:schemeClr val="bg1">
                  <a:lumMod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53851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2000" b="1">
                <a:solidFill>
                  <a:schemeClr val="tx1"/>
                </a:solidFill>
              </a:rPr>
              <a:t>YTD</a:t>
            </a:r>
            <a:r>
              <a:rPr lang="en-US" sz="2000" b="1" baseline="0">
                <a:solidFill>
                  <a:schemeClr val="tx1"/>
                </a:solidFill>
              </a:rPr>
              <a:t> $ Gains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9B00"/>
            </a:solidFill>
            <a:ln>
              <a:noFill/>
            </a:ln>
            <a:effectLst/>
          </c:spPr>
          <c:invertIfNegative val="1"/>
          <c:dLbls>
            <c:dLbl>
              <c:idx val="2"/>
              <c:layout>
                <c:manualLayout>
                  <c:x val="0"/>
                  <c:y val="1.85465465746134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FA-834F-8859-898E1F799512}"/>
                </c:ext>
              </c:extLst>
            </c:dLbl>
            <c:dLbl>
              <c:idx val="4"/>
              <c:layout>
                <c:manualLayout>
                  <c:x val="0"/>
                  <c:y val="-2.59651652044589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FA-834F-8859-898E1F799512}"/>
                </c:ext>
              </c:extLst>
            </c:dLbl>
            <c:dLbl>
              <c:idx val="5"/>
              <c:layout>
                <c:manualLayout>
                  <c:x val="-5.1508349737225766E-17"/>
                  <c:y val="-7.418618629845394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FA-834F-8859-898E1F799512}"/>
                </c:ext>
              </c:extLst>
            </c:dLbl>
            <c:dLbl>
              <c:idx val="7"/>
              <c:layout>
                <c:manualLayout>
                  <c:x val="1.4047894027111993E-3"/>
                  <c:y val="1.85468386462130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FA-834F-8859-898E1F7995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Gains, ETC 2026'!$C$4:$C$20</c:f>
              <c:strCache>
                <c:ptCount val="17"/>
                <c:pt idx="0">
                  <c:v>ASTS</c:v>
                </c:pt>
                <c:pt idx="1">
                  <c:v>BKNG</c:v>
                </c:pt>
                <c:pt idx="2">
                  <c:v>BLK</c:v>
                </c:pt>
                <c:pt idx="3">
                  <c:v>COP</c:v>
                </c:pt>
                <c:pt idx="4">
                  <c:v>DSI</c:v>
                </c:pt>
                <c:pt idx="5">
                  <c:v>GOOG</c:v>
                </c:pt>
                <c:pt idx="6">
                  <c:v>MSFT</c:v>
                </c:pt>
                <c:pt idx="7">
                  <c:v>NKE</c:v>
                </c:pt>
                <c:pt idx="8">
                  <c:v>NVDA</c:v>
                </c:pt>
                <c:pt idx="9">
                  <c:v>PG</c:v>
                </c:pt>
                <c:pt idx="10">
                  <c:v>PYPL</c:v>
                </c:pt>
                <c:pt idx="11">
                  <c:v>RTX</c:v>
                </c:pt>
                <c:pt idx="12">
                  <c:v>V</c:v>
                </c:pt>
                <c:pt idx="13">
                  <c:v>META</c:v>
                </c:pt>
                <c:pt idx="14">
                  <c:v>ORCL</c:v>
                </c:pt>
                <c:pt idx="15">
                  <c:v>APH</c:v>
                </c:pt>
                <c:pt idx="16">
                  <c:v>COST</c:v>
                </c:pt>
              </c:strCache>
            </c:strRef>
          </c:cat>
          <c:val>
            <c:numRef>
              <c:f>'YTD Gains, ETC 2026'!$H$4:$H$20</c:f>
              <c:numCache>
                <c:formatCode>_("$"* #,##0.00_);_("$"* \(#,##0.00\);_("$"* "-"??_);_(@_)</c:formatCode>
                <c:ptCount val="17"/>
                <c:pt idx="0">
                  <c:v>22841.5</c:v>
                </c:pt>
                <c:pt idx="1">
                  <c:v>-12909</c:v>
                </c:pt>
                <c:pt idx="2">
                  <c:v>-5079.899999999996</c:v>
                </c:pt>
                <c:pt idx="3">
                  <c:v>16334.499999999996</c:v>
                </c:pt>
                <c:pt idx="4">
                  <c:v>40313.799999999974</c:v>
                </c:pt>
                <c:pt idx="5">
                  <c:v>18335.999999999989</c:v>
                </c:pt>
                <c:pt idx="6">
                  <c:v>-12011.983499999997</c:v>
                </c:pt>
                <c:pt idx="7">
                  <c:v>-17267.749999999996</c:v>
                </c:pt>
                <c:pt idx="8">
                  <c:v>13541.999999999996</c:v>
                </c:pt>
                <c:pt idx="9">
                  <c:v>659.20000000000073</c:v>
                </c:pt>
                <c:pt idx="10">
                  <c:v>-16144.500000000004</c:v>
                </c:pt>
                <c:pt idx="11">
                  <c:v>-2759.374999999995</c:v>
                </c:pt>
                <c:pt idx="12">
                  <c:v>-5516.0999999999967</c:v>
                </c:pt>
                <c:pt idx="13">
                  <c:v>-11067.874999999991</c:v>
                </c:pt>
                <c:pt idx="14">
                  <c:v>17366.399999999991</c:v>
                </c:pt>
                <c:pt idx="15">
                  <c:v>-3807.9999999999905</c:v>
                </c:pt>
                <c:pt idx="16">
                  <c:v>-3166.8000000000038</c:v>
                </c:pt>
              </c:numCache>
            </c:numRef>
          </c:val>
          <c:extLst>
            <c:ext xmlns:c14="http://schemas.microsoft.com/office/drawing/2007/8/2/chart" uri="{6F2FDCE9-48DA-4B69-8628-5D25D57E5C99}">
              <c14:invertSolidFillFmt>
                <c14:spPr xmlns:c14="http://schemas.microsoft.com/office/drawing/2007/8/2/chart">
                  <a:solidFill>
                    <a:srgbClr val="A60012"/>
                  </a:solidFill>
                  <a:ln>
                    <a:noFill/>
                  </a:ln>
                  <a:effectLst/>
                </c14:spPr>
              </c14:invertSolidFillFmt>
            </c:ext>
            <c:ext xmlns:c16="http://schemas.microsoft.com/office/drawing/2014/chart" uri="{C3380CC4-5D6E-409C-BE32-E72D297353CC}">
              <c16:uniqueId val="{00000002-086B-1144-B219-E7639BB5D360}"/>
            </c:ext>
          </c:extLst>
        </c:ser>
        <c:dLbls>
          <c:showLegendKey val="0"/>
          <c:showVal val="0"/>
          <c:showCatName val="0"/>
          <c:showSerName val="0"/>
          <c:showPercent val="0"/>
          <c:showBubbleSize val="0"/>
        </c:dLbls>
        <c:gapWidth val="91"/>
        <c:overlap val="-5"/>
        <c:axId val="402272848"/>
        <c:axId val="520856368"/>
      </c:barChart>
      <c:catAx>
        <c:axId val="402272848"/>
        <c:scaling>
          <c:orientation val="minMax"/>
        </c:scaling>
        <c:delete val="1"/>
        <c:axPos val="b"/>
        <c:numFmt formatCode="General" sourceLinked="1"/>
        <c:majorTickMark val="none"/>
        <c:minorTickMark val="none"/>
        <c:tickLblPos val="nextTo"/>
        <c:crossAx val="520856368"/>
        <c:crosses val="autoZero"/>
        <c:auto val="1"/>
        <c:lblAlgn val="ctr"/>
        <c:lblOffset val="100"/>
        <c:noMultiLvlLbl val="0"/>
      </c:catAx>
      <c:valAx>
        <c:axId val="520856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272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6350</xdr:colOff>
      <xdr:row>21</xdr:row>
      <xdr:rowOff>296325</xdr:rowOff>
    </xdr:from>
    <xdr:to>
      <xdr:col>12</xdr:col>
      <xdr:colOff>0</xdr:colOff>
      <xdr:row>41</xdr:row>
      <xdr:rowOff>156625</xdr:rowOff>
    </xdr:to>
    <xdr:graphicFrame macro="">
      <xdr:nvGraphicFramePr>
        <xdr:cNvPr id="15" name="Chart 5">
          <a:extLst>
            <a:ext uri="{FF2B5EF4-FFF2-40B4-BE49-F238E27FC236}">
              <a16:creationId xmlns:a16="http://schemas.microsoft.com/office/drawing/2014/main" id="{6009C08E-EEEB-0AE3-9482-0345DEF71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635000</xdr:colOff>
      <xdr:row>24</xdr:row>
      <xdr:rowOff>80431</xdr:rowOff>
    </xdr:from>
    <xdr:to>
      <xdr:col>16</xdr:col>
      <xdr:colOff>482600</xdr:colOff>
      <xdr:row>39</xdr:row>
      <xdr:rowOff>105831</xdr:rowOff>
    </xdr:to>
    <xdr:graphicFrame macro="">
      <xdr:nvGraphicFramePr>
        <xdr:cNvPr id="6" name="Chart 1">
          <a:extLst>
            <a:ext uri="{FF2B5EF4-FFF2-40B4-BE49-F238E27FC236}">
              <a16:creationId xmlns:a16="http://schemas.microsoft.com/office/drawing/2014/main" id="{C2B4F096-7913-AB40-B332-5262C922D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255586</xdr:colOff>
      <xdr:row>23</xdr:row>
      <xdr:rowOff>179594</xdr:rowOff>
    </xdr:from>
    <xdr:to>
      <xdr:col>22</xdr:col>
      <xdr:colOff>745067</xdr:colOff>
      <xdr:row>38</xdr:row>
      <xdr:rowOff>167007</xdr:rowOff>
    </xdr:to>
    <xdr:graphicFrame macro="">
      <xdr:nvGraphicFramePr>
        <xdr:cNvPr id="13" name="Chart 1">
          <a:extLst>
            <a:ext uri="{FF2B5EF4-FFF2-40B4-BE49-F238E27FC236}">
              <a16:creationId xmlns:a16="http://schemas.microsoft.com/office/drawing/2014/main" id="{AE2C4CD2-3F42-4064-C68E-DA329067B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203200</xdr:colOff>
      <xdr:row>46</xdr:row>
      <xdr:rowOff>25399</xdr:rowOff>
    </xdr:from>
    <xdr:to>
      <xdr:col>17</xdr:col>
      <xdr:colOff>440267</xdr:colOff>
      <xdr:row>68</xdr:row>
      <xdr:rowOff>101599</xdr:rowOff>
    </xdr:to>
    <xdr:graphicFrame macro="">
      <xdr:nvGraphicFramePr>
        <xdr:cNvPr id="4" name="Chart 3">
          <a:extLst>
            <a:ext uri="{FF2B5EF4-FFF2-40B4-BE49-F238E27FC236}">
              <a16:creationId xmlns:a16="http://schemas.microsoft.com/office/drawing/2014/main" id="{FD1FFAD2-553A-21CB-0BF1-4D200E234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39998</xdr:colOff>
      <xdr:row>22</xdr:row>
      <xdr:rowOff>115614</xdr:rowOff>
    </xdr:from>
    <xdr:to>
      <xdr:col>11</xdr:col>
      <xdr:colOff>15240</xdr:colOff>
      <xdr:row>39</xdr:row>
      <xdr:rowOff>85031</xdr:rowOff>
    </xdr:to>
    <xdr:graphicFrame macro="">
      <xdr:nvGraphicFramePr>
        <xdr:cNvPr id="10" name="Chart 1">
          <a:extLst>
            <a:ext uri="{FF2B5EF4-FFF2-40B4-BE49-F238E27FC236}">
              <a16:creationId xmlns:a16="http://schemas.microsoft.com/office/drawing/2014/main" id="{51791714-B1C4-427A-3886-2C03B3F59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71</xdr:colOff>
      <xdr:row>21</xdr:row>
      <xdr:rowOff>189259</xdr:rowOff>
    </xdr:from>
    <xdr:to>
      <xdr:col>16</xdr:col>
      <xdr:colOff>812800</xdr:colOff>
      <xdr:row>38</xdr:row>
      <xdr:rowOff>178966</xdr:rowOff>
    </xdr:to>
    <xdr:graphicFrame macro="">
      <xdr:nvGraphicFramePr>
        <xdr:cNvPr id="8" name="Chart 4">
          <a:extLst>
            <a:ext uri="{FF2B5EF4-FFF2-40B4-BE49-F238E27FC236}">
              <a16:creationId xmlns:a16="http://schemas.microsoft.com/office/drawing/2014/main" id="{48F80B4E-B1A3-A141-5382-4032AB97B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1899</xdr:colOff>
      <xdr:row>39</xdr:row>
      <xdr:rowOff>78098</xdr:rowOff>
    </xdr:from>
    <xdr:to>
      <xdr:col>10</xdr:col>
      <xdr:colOff>1155700</xdr:colOff>
      <xdr:row>56</xdr:row>
      <xdr:rowOff>47516</xdr:rowOff>
    </xdr:to>
    <xdr:graphicFrame macro="">
      <xdr:nvGraphicFramePr>
        <xdr:cNvPr id="3" name="Chart 2">
          <a:extLst>
            <a:ext uri="{FF2B5EF4-FFF2-40B4-BE49-F238E27FC236}">
              <a16:creationId xmlns:a16="http://schemas.microsoft.com/office/drawing/2014/main" id="{82412CD1-9AAF-2C41-8E9A-521882F83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4">
  <rv s="0">
    <v>https://www.bing.com/financeapi/forcetrigger?t=bsmyr7&amp;q=XNAS%3aASTS&amp;form=skydnc</v>
    <v>Learn more on Bing</v>
  </rv>
  <rv s="1">
    <v>0</v>
    <v>AST SPACEMOBILE, INC. (XNAS:ASTS)</v>
    <v>2</v>
    <v>3</v>
    <v>Finance</v>
    <v>4</v>
    <v>en-US</v>
    <v>bsmyr7</v>
    <v>268435456</v>
    <v>1</v>
    <v>Powered by Refinitiv</v>
    <v>133.85990000000001</v>
    <v>32.25</v>
    <v>2.6846000000000001</v>
    <v>-0.20499999999999999</v>
    <v>-2.1900000000000001E-3</v>
    <v>USD</v>
    <v>AST SpaceMobile, Inc. is engaged in building a global cellular broadband network in space to operate directly with standard, unmodified mobile devices based on its intellectual property (IP) and patent portfolio and designed for both commercial and government applications. The Company is engaged in designing and developing the constellation of BlueBird (BB) satellites and has planned a space-based Cellular Broadband network distributed through a constellation of low Earth orbit (LEO) satellites. Its SpaceMobile Service is being designed to provide high-speed cellular broadband services to end-users who are out of terrestrial cellular coverage using existing mobile devices. The Company intends to continue testing capabilities of the BW3 test satellite, including further testing with cellular service providers and the government. The Company has operations in India, Scotland, Spain, and Israel.</v>
    <v>1126</v>
    <v>Nasdaq Stock Market</v>
    <v>XNAS</v>
    <v>XNAS</v>
    <v>Midland Intl. Air &amp; Space Port, 2901 Enterprise Lane, MIDLAND, TX, 79706 US</v>
    <v>97</v>
    <v>Telecommunications Services</v>
    <v>Stock</v>
    <v>46181.684793448439</v>
    <v>0</v>
    <v>91.91</v>
    <v>36248897017</v>
    <v>AST SPACEMOBILE, INC.</v>
    <v>AST SPACEMOBILE, INC.</v>
    <v>97</v>
    <v>0</v>
    <v>93.6</v>
    <v>93.394999999999996</v>
    <v>388124600</v>
    <v>ASTS</v>
    <v>AST SPACEMOBILE, INC. (XNAS:ASTS)</v>
    <v>7190509</v>
    <v>25364909</v>
    <v>2019</v>
  </rv>
  <rv s="2">
    <v>1</v>
  </rv>
  <rv s="0">
    <v>https://www.bing.com/financeapi/forcetrigger?t=a23hqh&amp;q=ARCX%3aSPY&amp;form=skydnc</v>
    <v>Learn more on Bing</v>
  </rv>
  <rv s="3">
    <v>5</v>
    <v>State Street SPDR S&amp;P500 (ARCX:SPY)</v>
    <v>6</v>
    <v>7</v>
    <v>Finance</v>
    <v>8</v>
    <v>en-US</v>
    <v>a23hqh</v>
    <v>268435456</v>
    <v>1</v>
    <v>Powered by Refinitiv</v>
    <v>760.4</v>
    <v>591.89</v>
    <v>0.99870000000000003</v>
    <v>5.63</v>
    <v>7.633E-3</v>
    <v>USD</v>
    <v>NYSE Arca</v>
    <v>ARCX</v>
    <v>9.4499999999999998E-4</v>
    <v>745.34</v>
    <v>ETF</v>
    <v>46181.684774305468</v>
    <v>3</v>
    <v>740.6</v>
    <v>783796407176.76001</v>
    <v>State Street SPDR S&amp;P500</v>
    <v>743.27</v>
    <v>737.55</v>
    <v>743.18</v>
    <v>SPY</v>
    <v>State Street SPDR S&amp;P500 (ARCX:SPY)</v>
    <v>20948225</v>
    <v>46904570</v>
  </rv>
  <rv s="2">
    <v>4</v>
  </rv>
  <rv s="0">
    <v>https://www.bing.com/financeapi/forcetrigger?t=az6g8m&amp;q=XNAS%3aBKNG&amp;form=skydnc</v>
    <v>Learn more on Bing</v>
  </rv>
  <rv s="1">
    <v>0</v>
    <v>BOOKING HOLDINGS INC. (XNAS:BKNG)</v>
    <v>2</v>
    <v>3</v>
    <v>Finance</v>
    <v>4</v>
    <v>en-US</v>
    <v>az6g8m</v>
    <v>268435456</v>
    <v>1</v>
    <v>Powered by Refinitiv</v>
    <v>233.57650000000001</v>
    <v>150.13999999999999</v>
    <v>1.0831</v>
    <v>-1.61</v>
    <v>-9.7079999999999996E-3</v>
    <v>USD</v>
    <v>Booking Holdings Inc. is a provider of travel and restaurant online reservation and related services. The Company offers its services through five primary consumer-facing brands: Booking.com, Priceline, Agoda, KAYAK, and OpenTable. Through its brands, consumers can book an array of accommodations (including hotels, motels, resorts, homes, apartments, bed and breakfasts, hostels, and other alternative and traditional accommodation properties) and a flight to their destinations; make a car rental reservation or arrange for an airport taxi; make a dinner reservation; or book a vacation package, tour, activity, or cruise. Consumers can also use its meta-search services to easily compare travel reservation information, such as flight, hotel, and rental car reservations from hundreds of online travel platforms at once. Booking.com offers accommodation reservation services for approximately 4.0 million properties in over 220 countries and territories and in over 40 languages.</v>
    <v>24300</v>
    <v>Nasdaq Stock Market</v>
    <v>XNAS</v>
    <v>XNAS</v>
    <v>800 CONNECTICUT AVE, NORWALK, CT, 06854-1631 US</v>
    <v>166.73</v>
    <v>Hotels &amp; Entertainment Services</v>
    <v>Stock</v>
    <v>46181.684800000003</v>
    <v>6</v>
    <v>163.34</v>
    <v>127258279631</v>
    <v>BOOKING HOLDINGS INC.</v>
    <v>BOOKING HOLDINGS INC.</v>
    <v>165.24</v>
    <v>21.590699999999998</v>
    <v>165.84</v>
    <v>164.23</v>
    <v>774878400</v>
    <v>BKNG</v>
    <v>BOOKING HOLDINGS INC. (XNAS:BKNG)</v>
    <v>2178294</v>
    <v>7492614</v>
    <v>1998</v>
  </rv>
  <rv s="2">
    <v>7</v>
  </rv>
  <rv s="0">
    <v>https://www.bing.com/financeapi/forcetrigger?t=a1om4c&amp;q=XNYS%3aBLK&amp;form=skydnc</v>
    <v>Learn more on Bing</v>
  </rv>
  <rv s="1">
    <v>0</v>
    <v>BLACKROCK, INC. (XNYS:BLK)</v>
    <v>2</v>
    <v>3</v>
    <v>Finance</v>
    <v>4</v>
    <v>en-US</v>
    <v>a1om4c</v>
    <v>268435456</v>
    <v>1</v>
    <v>Powered by Refinitiv</v>
    <v>1219.9399000000001</v>
    <v>917.39</v>
    <v>1.4343999999999999</v>
    <v>2.17</v>
    <v>2.1800000000000001E-3</v>
    <v>USD</v>
    <v>BlackRock, Inc. is an investment management company. The Company provides a range of investment management and technology and subscription services to institutional and retail clients. Its diverse platforms of alpha-seeking active, private markets, index and cash management investment strategies across asset classes enable it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25400</v>
    <v>New York Stock Exchange</v>
    <v>XNYS</v>
    <v>XNYS</v>
    <v>50 Hudson Yards, NEW YORK, NY, 10001 US</v>
    <v>1005</v>
    <v>Investment Banking &amp; Investment Services</v>
    <v>Stock</v>
    <v>46181.684774745314</v>
    <v>9</v>
    <v>992.72</v>
    <v>162477764793</v>
    <v>BLACKROCK, INC.</v>
    <v>BLACKROCK, INC.</v>
    <v>1002.43</v>
    <v>25.969899999999999</v>
    <v>995.6</v>
    <v>997.77</v>
    <v>162840900</v>
    <v>BLK</v>
    <v>BLACKROCK, INC. (XNYS:BLK)</v>
    <v>169413</v>
    <v>654523</v>
    <v>2024</v>
  </rv>
  <rv s="2">
    <v>10</v>
  </rv>
  <rv s="0">
    <v>https://www.bing.com/financeapi/forcetrigger?t=a1q5nm&amp;q=XNYS%3aCOP&amp;form=skydnc</v>
    <v>Learn more on Bing</v>
  </rv>
  <rv s="1">
    <v>0</v>
    <v>CONOCOPHILLIPS (XNYS:COP)</v>
    <v>2</v>
    <v>3</v>
    <v>Finance</v>
    <v>4</v>
    <v>en-US</v>
    <v>a1q5nm</v>
    <v>268435456</v>
    <v>1</v>
    <v>Powered by Refinitiv</v>
    <v>135.87</v>
    <v>85.57</v>
    <v>0.1007</v>
    <v>1.6</v>
    <v>1.3658999999999999E-2</v>
    <v>USD</v>
    <v>ConocoPhillips is an exploration and production company. Its Alaska segment primarily explores for, produces, transports and markets crude oil, natural gas and NGLs. The Lower 48 segment consists of operations located in the 48 contiguous states in the United States and the Gulf of Mexico. Canadian operations consist of the Surmont oil sands development in Alberta, the liquids-rich Montney unconventional play in British Columbia and commercial operations. The Europe, Middle East and North Africa segment consists of operations principally located in the Norwegian sector of the North Sea, the Norwegian Sea, Qatar, Libya, Equatorial Guinea and commercial and terminalling operations in the United Kingdom. Asia Pacific segment has exploration and production operations in China, Malaysia, Australia and commercial operations in China, Singapore and Japan. Other International segment includes interests in Colombia as well as contingencies associated with prior operations in other countries.</v>
    <v>9700</v>
    <v>New York Stock Exchange</v>
    <v>XNYS</v>
    <v>XNYS</v>
    <v>925 N. Eldridge Parkway, HOUSTON, TX, 77079-2703 US</v>
    <v>120.02</v>
    <v>Oil &amp; Gas</v>
    <v>Stock</v>
    <v>46181.684795995316</v>
    <v>12</v>
    <v>117.97</v>
    <v>144660229560</v>
    <v>CONOCOPHILLIPS</v>
    <v>CONOCOPHILLIPS</v>
    <v>118.62</v>
    <v>20.1843</v>
    <v>117.14</v>
    <v>118.74</v>
    <v>1218294000</v>
    <v>COP</v>
    <v>CONOCOPHILLIPS (XNYS:COP)</v>
    <v>1861225</v>
    <v>7075123</v>
    <v>2001</v>
  </rv>
  <rv s="2">
    <v>13</v>
  </rv>
  <rv s="0">
    <v>https://www.bing.com/financeapi/forcetrigger?t=a1rb8m&amp;q=ARCX%3aDSI&amp;form=skydnc</v>
    <v>Learn more on Bing</v>
  </rv>
  <rv s="3">
    <v>5</v>
    <v>iShares:ESG MSCI KLD400 (ARCX:DSI)</v>
    <v>6</v>
    <v>7</v>
    <v>Finance</v>
    <v>8</v>
    <v>en-US</v>
    <v>a1rb8m</v>
    <v>268435456</v>
    <v>1</v>
    <v>Powered by Refinitiv</v>
    <v>144.70500000000001</v>
    <v>111.14</v>
    <v>1.1041000000000001</v>
    <v>0.91</v>
    <v>6.5000000000000006E-3</v>
    <v>USD</v>
    <v>NYSE Arca</v>
    <v>ARCX</v>
    <v>2.5000000000000001E-3</v>
    <v>141.22</v>
    <v>ETF</v>
    <v>46181.684749443753</v>
    <v>15</v>
    <v>140.37</v>
    <v>5341352824.3000002</v>
    <v>iShares:ESG MSCI KLD400</v>
    <v>141.06</v>
    <v>139.99</v>
    <v>140.9</v>
    <v>DSI</v>
    <v>iShares:ESG MSCI KLD400 (ARCX:DSI)</v>
    <v>47340</v>
    <v>119976</v>
  </rv>
  <rv s="2">
    <v>16</v>
  </rv>
  <rv s="0">
    <v>https://www.bing.com/financeapi/forcetrigger?t=a1u3p2&amp;q=XNAS%3aGOOG&amp;form=skydnc</v>
    <v>Learn more on Bing</v>
  </rv>
  <rv s="1">
    <v>0</v>
    <v>ALPHABET INC. (XNAS:GOOG)</v>
    <v>2</v>
    <v>3</v>
    <v>Finance</v>
    <v>4</v>
    <v>en-US</v>
    <v>a1u3p2</v>
    <v>268435456</v>
    <v>1</v>
    <v>Powered by Refinitiv</v>
    <v>404.47</v>
    <v>163.33000000000001</v>
    <v>1.2397</v>
    <v>-5.9</v>
    <v>-1.6141000000000003E-2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363.38</v>
    <v>Software &amp; IT Services</v>
    <v>Stock</v>
    <v>46181.684770613283</v>
    <v>18</v>
    <v>357.89</v>
    <v>4378458758400</v>
    <v>ALPHABET INC.</v>
    <v>ALPHABET INC.</v>
    <v>362.44</v>
    <v>27.466200000000001</v>
    <v>365.54</v>
    <v>359.64</v>
    <v>12174560000</v>
    <v>GOOG</v>
    <v>ALPHABET INC. (XNAS:GOOG)</v>
    <v>9457474</v>
    <v>21824123</v>
    <v>2015</v>
  </rv>
  <rv s="2">
    <v>19</v>
  </rv>
  <rv s="0">
    <v>http://en.wikipedia.org/wiki/Public_domain</v>
    <v>Public domain</v>
  </rv>
  <rv s="0">
    <v>https://en.wikipedia.org/wiki/Microsoft</v>
    <v>Wikipedia</v>
  </rv>
  <rv s="4">
    <v>21</v>
    <v>22</v>
  </rv>
  <rv s="5">
    <v>13</v>
    <v>https://www.bing.com/th?id=AMMS_e6e837c7bf3a77408619758b7447855a&amp;qlt=95</v>
    <v>23</v>
    <v>0</v>
    <v>https://www.bing.com/images/search?form=xlimg&amp;q=microsoft</v>
    <v>Image of MICROSOFT CORPORATION</v>
  </rv>
  <rv s="0">
    <v>https://www.bing.com/financeapi/forcetrigger?t=a1xzim&amp;q=XNAS%3aMSFT&amp;form=skydnc</v>
    <v>Learn more on Bing</v>
  </rv>
  <rv s="6">
    <v>9</v>
    <v>MICROSOFT CORPORATION (XNAS:MSFT)</v>
    <v>11</v>
    <v>12</v>
    <v>Finance</v>
    <v>4</v>
    <v>en-US</v>
    <v>a1xzim</v>
    <v>268435456</v>
    <v>1</v>
    <v>Powered by Refinitiv</v>
    <v>555.45000000000005</v>
    <v>356.28</v>
    <v>1.1158999999999999</v>
    <v>-5.8498999999999999</v>
    <v>-1.4039999999999999E-2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417.15989999999999</v>
    <v>24</v>
    <v>Software &amp; IT Services</v>
    <v>Stock</v>
    <v>46181.684803726559</v>
    <v>25</v>
    <v>409.82</v>
    <v>3051750409543</v>
    <v>MICROSOFT CORPORATION</v>
    <v>MICROSOFT CORPORATION</v>
    <v>414.1</v>
    <v>24.468699999999998</v>
    <v>416.67</v>
    <v>410.82010000000002</v>
    <v>7428435000</v>
    <v>MSFT</v>
    <v>MICROSOFT CORPORATION (XNAS:MSFT)</v>
    <v>12829341</v>
    <v>35613573</v>
    <v>1993</v>
  </rv>
  <rv s="2">
    <v>26</v>
  </rv>
  <rv s="0">
    <v>https://www.bing.com/financeapi/forcetrigger?t=a1yjxm&amp;q=XNYS%3aNKE&amp;form=skydnc</v>
    <v>Learn more on Bing</v>
  </rv>
  <rv s="1">
    <v>0</v>
    <v>NIKE, INC. (XNYS:NKE)</v>
    <v>2</v>
    <v>3</v>
    <v>Finance</v>
    <v>4</v>
    <v>en-US</v>
    <v>a1yjxm</v>
    <v>268435456</v>
    <v>1</v>
    <v>Powered by Refinitiv</v>
    <v>80.165000000000006</v>
    <v>41.35</v>
    <v>1.1197999999999999</v>
    <v>0.41499999999999998</v>
    <v>9.6559999999999997E-3</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43.854999999999997</v>
    <v>Textiles &amp; Apparel</v>
    <v>Stock</v>
    <v>46181.684799282033</v>
    <v>28</v>
    <v>42.65</v>
    <v>64263091365</v>
    <v>NIKE, INC.</v>
    <v>NIKE, INC.</v>
    <v>42.85</v>
    <v>28.547499999999999</v>
    <v>42.98</v>
    <v>43.395000000000003</v>
    <v>1480887000</v>
    <v>NKE</v>
    <v>NIKE, INC. (XNYS:NKE)</v>
    <v>6740193</v>
    <v>21874415</v>
    <v>1969</v>
  </rv>
  <rv s="2">
    <v>29</v>
  </rv>
  <rv s="0">
    <v>https://www.bing.com/financeapi/forcetrigger?t=a1yv52&amp;q=XNAS%3aNVDA&amp;form=skydnc</v>
    <v>Learn more on Bing</v>
  </rv>
  <rv s="1">
    <v>0</v>
    <v>NVIDIA CORPORATION (XNAS:NVDA)</v>
    <v>2</v>
    <v>3</v>
    <v>Finance</v>
    <v>4</v>
    <v>en-US</v>
    <v>a1yv52</v>
    <v>268435456</v>
    <v>1</v>
    <v>Powered by Refinitiv</v>
    <v>236.54</v>
    <v>140.85499999999999</v>
    <v>2.2010999999999998</v>
    <v>3.97</v>
    <v>1.9355999999999998E-2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210.46</v>
    <v>Semiconductors &amp; Semiconductor Equipment</v>
    <v>Stock</v>
    <v>46181.68479614531</v>
    <v>31</v>
    <v>206</v>
    <v>5059494000000</v>
    <v>NVIDIA CORPORATION</v>
    <v>NVIDIA CORPORATION</v>
    <v>210</v>
    <v>32.016800000000003</v>
    <v>205.1</v>
    <v>209.07</v>
    <v>24200000000</v>
    <v>NVDA</v>
    <v>NVIDIA CORPORATION (XNAS:NVDA)</v>
    <v>72515279</v>
    <v>171225555</v>
    <v>1998</v>
  </rv>
  <rv s="2">
    <v>32</v>
  </rv>
  <rv s="0">
    <v>https://www.bing.com/financeapi/forcetrigger?t=a1zsjc&amp;q=XNYS%3aPG&amp;form=skydnc</v>
    <v>Learn more on Bing</v>
  </rv>
  <rv s="1">
    <v>0</v>
    <v>THE PROCTER &amp; GAMBLE COMPANY (XNYS:PG)</v>
    <v>2</v>
    <v>3</v>
    <v>Finance</v>
    <v>4</v>
    <v>en-US</v>
    <v>a1zsjc</v>
    <v>268435456</v>
    <v>1</v>
    <v>Powered by Refinitiv</v>
    <v>167.25</v>
    <v>137.62</v>
    <v>0.37519999999999998</v>
    <v>-1.17</v>
    <v>-7.9839999999999998E-3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146.55000000000001</v>
    <v>Personal &amp; Household Products &amp; Services</v>
    <v>Stock</v>
    <v>46181.684789003906</v>
    <v>34</v>
    <v>145.05000000000001</v>
    <v>338508436630</v>
    <v>THE PROCTER &amp; GAMBLE COMPANY</v>
    <v>THE PROCTER &amp; GAMBLE COMPANY</v>
    <v>145.53</v>
    <v>21.260400000000001</v>
    <v>146.54</v>
    <v>145.37</v>
    <v>2328599000</v>
    <v>PG</v>
    <v>THE PROCTER &amp; GAMBLE COMPANY (XNYS:PG)</v>
    <v>2319307</v>
    <v>8560487</v>
    <v>1905</v>
  </rv>
  <rv s="2">
    <v>35</v>
  </rv>
  <rv s="0">
    <v>https://www.bing.com/financeapi/forcetrigger?t=a21icw&amp;q=XNAS%3aPYPL&amp;form=skydnc</v>
    <v>Learn more on Bing</v>
  </rv>
  <rv s="1">
    <v>0</v>
    <v>PAYPAL HOLDINGS, INC. (XNAS:PYPL)</v>
    <v>2</v>
    <v>3</v>
    <v>Finance</v>
    <v>4</v>
    <v>en-US</v>
    <v>a21icw</v>
    <v>268435456</v>
    <v>1</v>
    <v>Powered by Refinitiv</v>
    <v>79.5</v>
    <v>38.46</v>
    <v>1.3365</v>
    <v>-8.5000000000000006E-2</v>
    <v>-2.0590000000000001E-3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41.42</v>
    <v>Professional &amp; Commercial Services</v>
    <v>Stock</v>
    <v>46181.684770520311</v>
    <v>37</v>
    <v>40.659999999999997</v>
    <v>36347157127</v>
    <v>PAYPAL HOLDINGS, INC.</v>
    <v>PAYPAL HOLDINGS, INC.</v>
    <v>41.25</v>
    <v>7.7130000000000001</v>
    <v>41.29</v>
    <v>41.204999999999998</v>
    <v>882105500</v>
    <v>PYPL</v>
    <v>PAYPAL HOLDINGS, INC. (XNAS:PYPL)</v>
    <v>6016650</v>
    <v>15890323</v>
    <v>2015</v>
  </rv>
  <rv s="2">
    <v>38</v>
  </rv>
  <rv s="0">
    <v>https://www.bing.com/financeapi/forcetrigger?t=a25552&amp;q=XNYS%3aRTX&amp;form=skydnc</v>
    <v>Learn more on Bing</v>
  </rv>
  <rv s="1">
    <v>0</v>
    <v>RTX CORPORATION (XNYS:RTX)</v>
    <v>2</v>
    <v>3</v>
    <v>Finance</v>
    <v>4</v>
    <v>en-US</v>
    <v>a25552</v>
    <v>268435456</v>
    <v>1</v>
    <v>Powered by Refinitiv</v>
    <v>214.5</v>
    <v>135.42500000000001</v>
    <v>0.30520000000000003</v>
    <v>-2.0049999999999999</v>
    <v>-1.1077999999999999E-2</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182.3</v>
    <v>Aerospace &amp; Defense</v>
    <v>Stock</v>
    <v>46181.684784166406</v>
    <v>40</v>
    <v>178.39</v>
    <v>241036056755</v>
    <v>RTX CORPORATION</v>
    <v>RTX CORPORATION</v>
    <v>180.49</v>
    <v>33.5398</v>
    <v>180.99</v>
    <v>178.98500000000001</v>
    <v>1346683000</v>
    <v>RTX</v>
    <v>RTX CORPORATION (XNYS:RTX)</v>
    <v>1359649</v>
    <v>5636705</v>
    <v>1934</v>
  </rv>
  <rv s="2">
    <v>41</v>
  </rv>
  <rv s="0">
    <v>https://www.bing.com/financeapi/forcetrigger?t=a256cw&amp;q=XNYS%3aV&amp;form=skydnc</v>
    <v>Learn more on Bing</v>
  </rv>
  <rv s="1">
    <v>0</v>
    <v>VISA INC. (XNYS:V)</v>
    <v>2</v>
    <v>3</v>
    <v>Finance</v>
    <v>4</v>
    <v>en-US</v>
    <v>a256cw</v>
    <v>268435456</v>
    <v>1</v>
    <v>Powered by Refinitiv</v>
    <v>375.51</v>
    <v>293.89</v>
    <v>0.76129999999999998</v>
    <v>-3.5049999999999999</v>
    <v>-1.0832E-2</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323.92</v>
    <v>Professional &amp; Commercial Services</v>
    <v>Stock</v>
    <v>46181.684776075781</v>
    <v>43</v>
    <v>319.73</v>
    <v>603042468125</v>
    <v>VISA INC.</v>
    <v>VISA INC.</v>
    <v>321.11</v>
    <v>27.8795</v>
    <v>323.57</v>
    <v>320.065</v>
    <v>1884125000</v>
    <v>V</v>
    <v>VISA INC. (XNYS:V)</v>
    <v>2128286</v>
    <v>7906705</v>
    <v>2007</v>
  </rv>
  <rv s="2">
    <v>44</v>
  </rv>
  <rv s="0">
    <v>https://www.bing.com/financeapi/forcetrigger?t=a1slm7&amp;q=XNAS%3aMETA&amp;form=skydnc</v>
    <v>Learn more on Bing</v>
  </rv>
  <rv s="1">
    <v>0</v>
    <v>META PLATFORMS, INC. (XNAS:META)</v>
    <v>2</v>
    <v>3</v>
    <v>Finance</v>
    <v>4</v>
    <v>en-US</v>
    <v>a1slm7</v>
    <v>268435456</v>
    <v>1</v>
    <v>Powered by Refinitiv</v>
    <v>796.25</v>
    <v>520.26</v>
    <v>1.2386999999999999</v>
    <v>-4.6074999999999999</v>
    <v>-7.77E-3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592</v>
    <v>Software &amp; IT Services</v>
    <v>Stock</v>
    <v>46181.684793888278</v>
    <v>46</v>
    <v>579.22</v>
    <v>1493589055027</v>
    <v>META PLATFORMS, INC.</v>
    <v>META PLATFORMS, INC.</v>
    <v>590.64</v>
    <v>17.846800000000002</v>
    <v>593</v>
    <v>588.39250000000004</v>
    <v>2538423000</v>
    <v>META</v>
    <v>META PLATFORMS, INC. (XNAS:META)</v>
    <v>7304181</v>
    <v>16894180</v>
    <v>2004</v>
  </rv>
  <rv s="2">
    <v>47</v>
  </rv>
  <rv s="0">
    <v>http://pt.wikipedia.org/wiki/Oracle_Corporation</v>
    <v>Wikipedia</v>
  </rv>
  <rv s="4">
    <v>21</v>
    <v>49</v>
  </rv>
  <rv s="5">
    <v>13</v>
    <v>https://www.bing.com/th?id=AMMS_672116c618c664d13b2515d6587ba357&amp;qlt=95</v>
    <v>50</v>
    <v>0</v>
    <v>https://www.bing.com/images/search?form=xlimg&amp;q=oracle+corporation</v>
    <v>Image of ORACLE CORPORATION</v>
  </rv>
  <rv s="0">
    <v>https://www.bing.com/financeapi/forcetrigger?t=a1zbec&amp;q=XNYS%3aORCL&amp;form=skydnc</v>
    <v>Learn more on Bing</v>
  </rv>
  <rv s="6">
    <v>9</v>
    <v>ORACLE CORPORATION (XNYS:ORCL)</v>
    <v>11</v>
    <v>12</v>
    <v>Finance</v>
    <v>4</v>
    <v>en-US</v>
    <v>a1zbec</v>
    <v>268435456</v>
    <v>1</v>
    <v>Powered by Refinitiv</v>
    <v>345.72</v>
    <v>134.57</v>
    <v>1.6594</v>
    <v>0.08</v>
    <v>3.7439999999999999E-4</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219.06</v>
    <v>51</v>
    <v>Software &amp; IT Services</v>
    <v>Stock</v>
    <v>46181.684774640627</v>
    <v>52</v>
    <v>209.33099999999999</v>
    <v>614783592960</v>
    <v>ORACLE CORPORATION</v>
    <v>ORACLE CORPORATION</v>
    <v>217.72</v>
    <v>36.231099999999998</v>
    <v>213.68</v>
    <v>213.76</v>
    <v>2876046000</v>
    <v>ORCL</v>
    <v>ORACLE CORPORATION (XNYS:ORCL)</v>
    <v>10612208</v>
    <v>23006166</v>
    <v>2005</v>
  </rv>
  <rv s="2">
    <v>53</v>
  </rv>
  <rv s="0">
    <v>https://www.bing.com/financeapi/forcetrigger?t=a1nllh&amp;q=XNYS%3aAPH&amp;form=skydnc</v>
    <v>Learn more on Bing</v>
  </rv>
  <rv s="1">
    <v>0</v>
    <v>AMPHENOL CORPORATION (XNYS:APH)</v>
    <v>2</v>
    <v>3</v>
    <v>Finance</v>
    <v>4</v>
    <v>en-US</v>
    <v>a1nllh</v>
    <v>268435456</v>
    <v>1</v>
    <v>Powered by Refinitiv</v>
    <v>167.04</v>
    <v>91.06</v>
    <v>1.2886</v>
    <v>4.84</v>
    <v>3.4868000000000003E-2</v>
    <v>USD</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170000</v>
    <v>New York Stock Exchange</v>
    <v>XNYS</v>
    <v>XNYS</v>
    <v>358 HALL AVE, WALLINGFORD, CT, 06492 US</v>
    <v>145.75</v>
    <v>Electronic Equipment &amp; Parts</v>
    <v>Stock</v>
    <v>46181.684743876562</v>
    <v>55</v>
    <v>141.85499999999999</v>
    <v>176723114100</v>
    <v>AMPHENOL CORPORATION</v>
    <v>AMPHENOL CORPORATION</v>
    <v>144.36000000000001</v>
    <v>41.238399999999999</v>
    <v>138.81</v>
    <v>143.65</v>
    <v>1230234000</v>
    <v>APH</v>
    <v>AMPHENOL CORPORATION (XNYS:APH)</v>
    <v>2690380</v>
    <v>11514008</v>
    <v>1986</v>
  </rv>
  <rv s="2">
    <v>56</v>
  </rv>
  <rv s="0">
    <v>https://www.bing.com/financeapi/forcetrigger?t=a1q6k2&amp;q=XNAS%3aCOST&amp;form=skydnc</v>
    <v>Learn more on Bing</v>
  </rv>
  <rv s="1">
    <v>0</v>
    <v>COSTCO WHOLESALE CORPORATION (XNAS:COST)</v>
    <v>2</v>
    <v>3</v>
    <v>Finance</v>
    <v>4</v>
    <v>en-US</v>
    <v>a1q6k2</v>
    <v>268435456</v>
    <v>1</v>
    <v>Powered by Refinitiv</v>
    <v>1096.5</v>
    <v>844.06</v>
    <v>0.86629999999999996</v>
    <v>1.19</v>
    <v>1.224E-3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978.98</v>
    <v>Diversified Retail</v>
    <v>Stock</v>
    <v>46181.684788969535</v>
    <v>58</v>
    <v>961.00199999999995</v>
    <v>431531481128</v>
    <v>COSTCO WHOLESALE CORPORATION</v>
    <v>COSTCO WHOLESALE CORPORATION</v>
    <v>965.2</v>
    <v>48.941299999999998</v>
    <v>971.87</v>
    <v>973.06</v>
    <v>443478800</v>
    <v>COST</v>
    <v>COSTCO WHOLESALE CORPORATION (XNAS:COST)</v>
    <v>608135</v>
    <v>2380618</v>
    <v>1987</v>
  </rv>
  <rv s="2">
    <v>59</v>
  </rv>
  <rv s="0">
    <v>https://www.bing.com/financeapi/forcetrigger?t=a21mim&amp;q=XNAS%3aQQQ&amp;form=skydnc</v>
    <v>Learn more on Bing</v>
  </rv>
  <rv s="3">
    <v>5</v>
    <v>Invesco QQQ Trust 1 (XNAS:QQQ)</v>
    <v>6</v>
    <v>7</v>
    <v>Finance</v>
    <v>8</v>
    <v>en-US</v>
    <v>a21mim</v>
    <v>268435456</v>
    <v>1</v>
    <v>Powered by Refinitiv</v>
    <v>748.65</v>
    <v>523.65</v>
    <v>1.0089999999999999</v>
    <v>15.65</v>
    <v>2.2197000000000001E-2</v>
    <v>USD</v>
    <v>Nasdaq Stock Market</v>
    <v>XNAS</v>
    <v>1.8E-3</v>
    <v>723.02760000000001</v>
    <v>ETF</v>
    <v>46181.684792835156</v>
    <v>61</v>
    <v>713.1</v>
    <v>493987523137.08002</v>
    <v>Invesco QQQ Trust 1</v>
    <v>717.92</v>
    <v>705.06</v>
    <v>720.71</v>
    <v>QQQ</v>
    <v>Invesco QQQ Trust 1 (XNAS:QQQ)</v>
    <v>26305459</v>
    <v>41284556</v>
  </rv>
  <rv s="2">
    <v>62</v>
  </rv>
</rvData>
</file>

<file path=xl/richData/rdrichvaluestructure.xml><?xml version="1.0" encoding="utf-8"?>
<rvStructures xmlns="http://schemas.microsoft.com/office/spreadsheetml/2017/richdata" count="7">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4">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1</v>
      <v>1</v>
    </spb>
    <spb s="6">
      <v>1</v>
      <v>2</v>
      <v>1</v>
      <v>3</v>
      <v>1</v>
      <v>1</v>
      <v>1</v>
      <v>4</v>
      <v>5</v>
      <v>6</v>
      <v>1</v>
      <v>1</v>
      <v>5</v>
      <v>1</v>
      <v>4</v>
      <v>7</v>
      <v>9</v>
    </spb>
    <spb s="7">
      <v>Real-Time Nasdaq Last Sale</v>
      <v>from previous close</v>
      <v>Source: Nasdaq Last Sale</v>
      <v>from previous close</v>
      <v>GMT</v>
    </spb>
    <spb s="0">
      <v>2</v>
      <v>Name</v>
      <v>LearnMoreOnLink</v>
    </spb>
    <spb s="8">
      <v>0</v>
      <v>0</v>
    </spb>
    <spb s="9">
      <v>10</v>
      <v>1</v>
      <v>1</v>
      <v>1</v>
      <v>1</v>
    </spb>
    <spb s="10">
      <v>1</v>
      <v>2</v>
      <v>2</v>
      <v>1</v>
      <v>3</v>
      <v>1</v>
      <v>10</v>
      <v>1</v>
      <v>1</v>
      <v>4</v>
      <v>4</v>
      <v>5</v>
      <v>6</v>
      <v>1</v>
      <v>1</v>
      <v>1</v>
      <v>4</v>
      <v>7</v>
      <v>8</v>
      <v>9</v>
      <v>4</v>
    </spb>
    <spb s="11">
      <v>Powered by Refinitiv</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8332-218A-DB43-9944-500401600D69}">
  <dimension ref="A1:AI77"/>
  <sheetViews>
    <sheetView topLeftCell="B38" workbookViewId="0">
      <selection activeCell="J1" sqref="J1"/>
    </sheetView>
  </sheetViews>
  <sheetFormatPr baseColWidth="10" defaultRowHeight="16" x14ac:dyDescent="0.2"/>
  <cols>
    <col min="3" max="3" width="12.6640625" customWidth="1"/>
    <col min="4" max="4" width="11.5" customWidth="1"/>
    <col min="5" max="5" width="12.1640625" customWidth="1"/>
    <col min="6" max="6" width="15.6640625" customWidth="1"/>
    <col min="7" max="7" width="13.83203125" customWidth="1"/>
    <col min="8" max="8" width="15.1640625" customWidth="1"/>
    <col min="9" max="9" width="15" customWidth="1"/>
    <col min="10" max="10" width="15.1640625" customWidth="1"/>
    <col min="11" max="11" width="12" customWidth="1"/>
    <col min="12" max="12" width="15.33203125" customWidth="1"/>
    <col min="14" max="14" width="15.6640625" customWidth="1"/>
    <col min="15" max="15" width="11" bestFit="1" customWidth="1"/>
    <col min="19" max="19" width="14.5" customWidth="1"/>
    <col min="20" max="20" width="10.83203125" customWidth="1"/>
    <col min="21" max="21" width="11.6640625" bestFit="1" customWidth="1"/>
    <col min="27" max="27" width="13.6640625" bestFit="1" customWidth="1"/>
    <col min="28" max="28" width="11.6640625" bestFit="1" customWidth="1"/>
  </cols>
  <sheetData>
    <row r="1" spans="1:35" x14ac:dyDescent="0.2">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35" ht="29" x14ac:dyDescent="0.3">
      <c r="A2" s="26"/>
      <c r="B2" s="26"/>
      <c r="C2" s="26"/>
      <c r="D2" s="26"/>
      <c r="E2" s="26"/>
      <c r="F2" s="26"/>
      <c r="G2" s="42" t="s">
        <v>43</v>
      </c>
      <c r="H2" s="26"/>
      <c r="I2" s="26"/>
      <c r="J2" s="26"/>
      <c r="K2" s="26"/>
      <c r="L2" s="26"/>
      <c r="M2" s="26"/>
      <c r="N2" s="26"/>
      <c r="O2" s="26"/>
      <c r="P2" s="26"/>
      <c r="Q2" s="26"/>
      <c r="R2" s="26"/>
      <c r="S2" s="26"/>
      <c r="T2" s="55" t="s">
        <v>87</v>
      </c>
      <c r="U2" s="26"/>
      <c r="V2" s="26"/>
      <c r="W2" s="26"/>
      <c r="X2" s="26"/>
      <c r="Y2" s="26"/>
      <c r="Z2" s="26"/>
      <c r="AA2" s="26"/>
      <c r="AB2" s="26"/>
      <c r="AC2" s="26"/>
      <c r="AF2" t="s">
        <v>79</v>
      </c>
    </row>
    <row r="3" spans="1:35" x14ac:dyDescent="0.2">
      <c r="A3" s="26"/>
      <c r="B3" s="43"/>
      <c r="C3" s="1" t="s">
        <v>0</v>
      </c>
      <c r="D3" s="1" t="s">
        <v>1</v>
      </c>
      <c r="E3" s="1" t="s">
        <v>3</v>
      </c>
      <c r="F3" s="1" t="s">
        <v>4</v>
      </c>
      <c r="G3" s="1" t="s">
        <v>2</v>
      </c>
      <c r="H3" s="1" t="s">
        <v>5</v>
      </c>
      <c r="I3" s="1" t="s">
        <v>6</v>
      </c>
      <c r="J3" s="1" t="s">
        <v>7</v>
      </c>
      <c r="K3" s="1" t="s">
        <v>8</v>
      </c>
      <c r="L3" s="2" t="s">
        <v>9</v>
      </c>
      <c r="M3" s="26"/>
      <c r="N3" s="38" t="s">
        <v>10</v>
      </c>
      <c r="O3" s="26"/>
      <c r="P3" s="26"/>
      <c r="Q3" s="26"/>
      <c r="R3" s="26"/>
      <c r="S3" s="48" t="s">
        <v>91</v>
      </c>
      <c r="T3" s="47" t="s">
        <v>70</v>
      </c>
      <c r="U3" s="49" t="s">
        <v>81</v>
      </c>
      <c r="V3" s="26"/>
      <c r="W3" s="26"/>
      <c r="X3" s="26"/>
      <c r="Y3" s="26"/>
      <c r="Z3" s="26"/>
      <c r="AA3" s="26"/>
      <c r="AB3" s="26"/>
      <c r="AC3" s="26"/>
      <c r="AF3" t="s">
        <v>80</v>
      </c>
    </row>
    <row r="4" spans="1:35" x14ac:dyDescent="0.2">
      <c r="A4" s="26"/>
      <c r="B4" s="26"/>
      <c r="C4" s="3" t="str" cm="1">
        <f t="array" aca="1" ref="C4" ca="1">_FV(N4,"Ticker symbol",TRUE)</f>
        <v>ASTS</v>
      </c>
      <c r="D4" s="4">
        <v>1100</v>
      </c>
      <c r="E4" s="5" cm="1">
        <f t="array" aca="1" ref="E4" ca="1">_FV(N4,"Price")</f>
        <v>93.394999999999996</v>
      </c>
      <c r="F4" s="5">
        <f ca="1">D4*E4</f>
        <v>102734.5</v>
      </c>
      <c r="G4">
        <v>33.450000000000003</v>
      </c>
      <c r="H4" s="6">
        <f>D4*G4</f>
        <v>36795</v>
      </c>
      <c r="I4" s="7" cm="1">
        <f t="array" aca="1" ref="I4" ca="1">_FV(N4,"Change (%)",TRUE)</f>
        <v>-2.1900000000000001E-3</v>
      </c>
      <c r="J4" s="5" cm="1">
        <f t="array" aca="1" ref="J4" ca="1">_FV(N4,"Change")*D4</f>
        <v>-225.5</v>
      </c>
      <c r="K4" s="8">
        <f ca="1">E4/G4-1</f>
        <v>1.7920777279521669</v>
      </c>
      <c r="L4" s="9">
        <f ca="1">F4-H4</f>
        <v>65939.5</v>
      </c>
      <c r="M4" s="26"/>
      <c r="N4" s="26" t="e" vm="1">
        <v>#VALUE!</v>
      </c>
      <c r="O4" s="26"/>
      <c r="P4" s="26"/>
      <c r="Q4" s="26"/>
      <c r="R4" s="26"/>
      <c r="S4" s="50" t="s">
        <v>27</v>
      </c>
      <c r="T4" s="46" cm="1">
        <f t="array" aca="1" ref="T4" ca="1">_FV(N4,"Beta")</f>
        <v>2.6846000000000001</v>
      </c>
      <c r="U4" s="51">
        <f ca="1">I48/I45*T4</f>
        <v>0.15854199265753122</v>
      </c>
      <c r="V4" s="46"/>
      <c r="W4" s="26"/>
      <c r="X4" s="26"/>
      <c r="Y4" s="26"/>
      <c r="Z4" s="26"/>
      <c r="AA4" s="26"/>
      <c r="AB4" s="26"/>
      <c r="AC4" s="26"/>
      <c r="AH4" t="e" vm="2">
        <v>#VALUE!</v>
      </c>
    </row>
    <row r="5" spans="1:35" x14ac:dyDescent="0.2">
      <c r="A5" s="26"/>
      <c r="B5" s="26"/>
      <c r="C5" s="3" t="str" cm="1">
        <f t="array" aca="1" ref="C5" ca="1">_FV(N5,"Ticker symbol",TRUE)</f>
        <v>BKNG</v>
      </c>
      <c r="D5" s="4">
        <v>300</v>
      </c>
      <c r="E5" s="5" cm="1">
        <f t="array" aca="1" ref="E5" ca="1">_FV(N5,"Price")</f>
        <v>164.23</v>
      </c>
      <c r="F5" s="5">
        <f t="shared" ref="F5:F16" ca="1" si="0">D5*E5</f>
        <v>49269</v>
      </c>
      <c r="G5">
        <v>207.27</v>
      </c>
      <c r="H5" s="6">
        <f t="shared" ref="H5:H20" si="1">D5*G5</f>
        <v>62181</v>
      </c>
      <c r="I5" s="7" cm="1">
        <f t="array" aca="1" ref="I5" ca="1">_FV(N5,"Change (%)",TRUE)</f>
        <v>-9.7079999999999996E-3</v>
      </c>
      <c r="J5" s="5" cm="1">
        <f t="array" aca="1" ref="J5" ca="1">_FV(N5,"Change")*D5</f>
        <v>-483.00000000000006</v>
      </c>
      <c r="K5" s="8">
        <f ca="1">E5/G5-1</f>
        <v>-0.20765185506826855</v>
      </c>
      <c r="L5" s="9">
        <f t="shared" ref="L5:L16" ca="1" si="2">F5-H5</f>
        <v>-12912</v>
      </c>
      <c r="M5" s="26"/>
      <c r="N5" s="26" t="e" vm="3">
        <v>#VALUE!</v>
      </c>
      <c r="O5" s="26"/>
      <c r="P5" s="26"/>
      <c r="Q5" s="26"/>
      <c r="R5" s="26"/>
      <c r="S5" s="50" t="s">
        <v>28</v>
      </c>
      <c r="T5" s="46" cm="1">
        <f t="array" aca="1" ref="T5" ca="1">_FV(N5,"Beta")</f>
        <v>1.0831</v>
      </c>
      <c r="U5" s="51">
        <f ca="1">H64*T5</f>
        <v>3.0675434174845164E-2</v>
      </c>
      <c r="V5" s="26"/>
      <c r="W5" s="26"/>
      <c r="X5" s="26"/>
      <c r="Y5" s="26"/>
      <c r="Z5" s="26"/>
      <c r="AA5" s="26"/>
      <c r="AB5" s="26"/>
      <c r="AC5" s="26"/>
      <c r="AF5" t="s">
        <v>82</v>
      </c>
      <c r="AG5" t="s">
        <v>21</v>
      </c>
      <c r="AH5" t="s">
        <v>83</v>
      </c>
      <c r="AI5" t="s">
        <v>84</v>
      </c>
    </row>
    <row r="6" spans="1:35" x14ac:dyDescent="0.2">
      <c r="A6" s="26"/>
      <c r="B6" s="26"/>
      <c r="C6" s="3" t="str" cm="1">
        <f t="array" aca="1" ref="C6" ca="1">_FV(N6,"Ticker symbol",TRUE)</f>
        <v>BLK</v>
      </c>
      <c r="D6" s="4">
        <v>70</v>
      </c>
      <c r="E6" s="5" cm="1">
        <f t="array" aca="1" ref="E6" ca="1">_FV(N6,"Price")</f>
        <v>997.77</v>
      </c>
      <c r="F6" s="5">
        <f t="shared" ca="1" si="0"/>
        <v>69843.899999999994</v>
      </c>
      <c r="G6">
        <v>919.01</v>
      </c>
      <c r="H6" s="6">
        <f t="shared" si="1"/>
        <v>64330.7</v>
      </c>
      <c r="I6" s="7" cm="1">
        <f t="array" aca="1" ref="I6" ca="1">_FV(N6,"Change (%)",TRUE)</f>
        <v>2.1800000000000001E-3</v>
      </c>
      <c r="J6" s="5" cm="1">
        <f t="array" aca="1" ref="J6" ca="1">_FV(N6,"Change")*D6</f>
        <v>151.9</v>
      </c>
      <c r="K6" s="8">
        <f t="shared" ref="K6:K16" ca="1" si="3">E6/G6-1</f>
        <v>8.5700917291433143E-2</v>
      </c>
      <c r="L6" s="9">
        <f t="shared" ca="1" si="2"/>
        <v>5513.1999999999971</v>
      </c>
      <c r="M6" s="26"/>
      <c r="N6" s="26" t="e" vm="4">
        <v>#VALUE!</v>
      </c>
      <c r="O6" s="26"/>
      <c r="P6" s="26"/>
      <c r="Q6" s="26"/>
      <c r="R6" s="26"/>
      <c r="S6" s="50" t="s">
        <v>29</v>
      </c>
      <c r="T6" s="46" cm="1">
        <f t="array" aca="1" ref="T6" ca="1">_FV(N6,"Beta")</f>
        <v>1.4343999999999999</v>
      </c>
      <c r="U6" s="51">
        <f ca="1">H60*T6</f>
        <v>5.7590012573611689E-2</v>
      </c>
      <c r="V6" s="26"/>
      <c r="W6" s="26"/>
      <c r="X6" s="26"/>
      <c r="Y6" s="26"/>
      <c r="Z6" s="26"/>
      <c r="AA6" s="26"/>
      <c r="AB6" s="26"/>
      <c r="AC6" s="26"/>
      <c r="AF6" t="s">
        <v>71</v>
      </c>
    </row>
    <row r="7" spans="1:35" x14ac:dyDescent="0.2">
      <c r="A7" s="26"/>
      <c r="B7" s="26"/>
      <c r="C7" s="3" t="str" cm="1">
        <f t="array" aca="1" ref="C7" ca="1">_FV(N7,"Ticker symbol",TRUE)</f>
        <v>COP</v>
      </c>
      <c r="D7" s="4">
        <v>650</v>
      </c>
      <c r="E7" s="5" cm="1">
        <f t="array" aca="1" ref="E7" ca="1">_FV(N7,"Price")</f>
        <v>118.74</v>
      </c>
      <c r="F7" s="5">
        <f t="shared" ca="1" si="0"/>
        <v>77181</v>
      </c>
      <c r="G7">
        <v>98.92</v>
      </c>
      <c r="H7" s="6">
        <f t="shared" si="1"/>
        <v>64298</v>
      </c>
      <c r="I7" s="7" cm="1">
        <f t="array" aca="1" ref="I7" ca="1">_FV(N7,"Change (%)",TRUE)</f>
        <v>1.3658999999999999E-2</v>
      </c>
      <c r="J7" s="5" cm="1">
        <f t="array" aca="1" ref="J7" ca="1">_FV(N7,"Change")*D7</f>
        <v>1040</v>
      </c>
      <c r="K7" s="8">
        <f t="shared" ca="1" si="3"/>
        <v>0.20036393044884737</v>
      </c>
      <c r="L7" s="9">
        <f t="shared" ca="1" si="2"/>
        <v>12883</v>
      </c>
      <c r="M7" s="26"/>
      <c r="N7" s="26" t="e" vm="5">
        <v>#VALUE!</v>
      </c>
      <c r="O7" s="26"/>
      <c r="P7" s="26"/>
      <c r="Q7" s="26"/>
      <c r="R7" s="26"/>
      <c r="S7" s="50" t="s">
        <v>30</v>
      </c>
      <c r="T7" s="46" cm="1">
        <f t="array" aca="1" ref="T7" ca="1">_FV(N7,"Beta")</f>
        <v>0.1007</v>
      </c>
      <c r="U7" s="51">
        <f ca="1">H58*T7</f>
        <v>4.4677440665664989E-3</v>
      </c>
      <c r="V7" s="26"/>
      <c r="W7" s="26"/>
      <c r="X7" s="26"/>
      <c r="Y7" s="26"/>
      <c r="Z7" s="26"/>
      <c r="AA7" s="26"/>
      <c r="AB7" s="26"/>
      <c r="AC7" s="26"/>
      <c r="AF7" t="s">
        <v>72</v>
      </c>
      <c r="AH7" t="e" vm="2">
        <f>AH4</f>
        <v>#VALUE!</v>
      </c>
    </row>
    <row r="8" spans="1:35" x14ac:dyDescent="0.2">
      <c r="A8" s="26" t="s">
        <v>13</v>
      </c>
      <c r="B8" s="26"/>
      <c r="C8" s="3" t="str" cm="1">
        <f t="array" aca="1" ref="C8" ca="1">_FV(N8,"Ticker symbol",TRUE)</f>
        <v>DSI</v>
      </c>
      <c r="D8" s="4">
        <v>3340</v>
      </c>
      <c r="E8" s="5" cm="1">
        <f t="array" aca="1" ref="E8" ca="1">_FV(N8,"Price")</f>
        <v>140.9</v>
      </c>
      <c r="F8" s="5">
        <f t="shared" ca="1" si="0"/>
        <v>470606</v>
      </c>
      <c r="G8">
        <v>91.68</v>
      </c>
      <c r="H8" s="6">
        <f t="shared" si="1"/>
        <v>306211.20000000001</v>
      </c>
      <c r="I8" s="7" cm="1">
        <f t="array" aca="1" ref="I8" ca="1">_FV(N8,"Change (%)",TRUE)</f>
        <v>6.5000000000000006E-3</v>
      </c>
      <c r="J8" s="5" cm="1">
        <f t="array" aca="1" ref="J8" ca="1">_FV(N8,"Change")*D8</f>
        <v>3039.4</v>
      </c>
      <c r="K8" s="8">
        <f t="shared" ca="1" si="3"/>
        <v>0.53686736474694574</v>
      </c>
      <c r="L8" s="9">
        <f t="shared" ca="1" si="2"/>
        <v>164394.79999999999</v>
      </c>
      <c r="M8" s="26"/>
      <c r="N8" s="26" t="e" vm="6">
        <v>#VALUE!</v>
      </c>
      <c r="O8" s="26"/>
      <c r="P8" s="26"/>
      <c r="Q8" s="26"/>
      <c r="R8" s="26"/>
      <c r="S8" s="50" t="s">
        <v>22</v>
      </c>
      <c r="T8" s="46" cm="1">
        <f t="array" aca="1" ref="T8" ca="1">_FV(N8,"Beta")</f>
        <v>1.1041000000000001</v>
      </c>
      <c r="U8" s="51">
        <f ca="1">H70*T8</f>
        <v>0.29868559965483249</v>
      </c>
      <c r="V8" s="26"/>
      <c r="W8" s="26"/>
      <c r="X8" s="26"/>
      <c r="Y8" s="26"/>
      <c r="Z8" s="26"/>
      <c r="AA8" s="26"/>
      <c r="AB8" s="26"/>
      <c r="AC8" s="26"/>
      <c r="AF8" t="s">
        <v>73</v>
      </c>
    </row>
    <row r="9" spans="1:35" x14ac:dyDescent="0.2">
      <c r="A9" s="26"/>
      <c r="B9" s="26"/>
      <c r="C9" s="3" t="str" cm="1">
        <f t="array" aca="1" ref="C9" ca="1">_FV(N9,"Ticker symbol",TRUE)</f>
        <v>GOOG</v>
      </c>
      <c r="D9" s="4">
        <v>400</v>
      </c>
      <c r="E9" s="5" cm="1">
        <f t="array" aca="1" ref="E9" ca="1">_FV(N9,"Price")</f>
        <v>359.64</v>
      </c>
      <c r="F9" s="5">
        <f t="shared" ca="1" si="0"/>
        <v>143856</v>
      </c>
      <c r="G9" s="23">
        <v>90.3</v>
      </c>
      <c r="H9" s="6">
        <f t="shared" si="1"/>
        <v>36120</v>
      </c>
      <c r="I9" s="7" cm="1">
        <f t="array" aca="1" ref="I9" ca="1">_FV(N9,"Change (%)",TRUE)</f>
        <v>-1.6141000000000003E-2</v>
      </c>
      <c r="J9" s="5" cm="1">
        <f t="array" aca="1" ref="J9" ca="1">_FV(N9,"Change")*D9</f>
        <v>-2360</v>
      </c>
      <c r="K9" s="8">
        <f t="shared" ca="1" si="3"/>
        <v>2.9827242524916944</v>
      </c>
      <c r="L9" s="9">
        <f t="shared" ca="1" si="2"/>
        <v>107736</v>
      </c>
      <c r="M9" s="26"/>
      <c r="N9" s="26" t="e" vm="7">
        <v>#VALUE!</v>
      </c>
      <c r="O9" s="26"/>
      <c r="P9" s="26"/>
      <c r="Q9" s="26"/>
      <c r="R9" s="26"/>
      <c r="S9" s="50" t="s">
        <v>31</v>
      </c>
      <c r="T9" s="46" cm="1">
        <f t="array" aca="1" ref="T9" ca="1">_FV(N9,"Beta")</f>
        <v>1.2397</v>
      </c>
      <c r="U9" s="51">
        <f ca="1">T9*H53</f>
        <v>0.10251631726596222</v>
      </c>
      <c r="V9" s="26"/>
      <c r="W9" s="26"/>
      <c r="X9" s="26"/>
      <c r="Y9" s="26"/>
      <c r="Z9" s="26"/>
      <c r="AA9" s="26"/>
      <c r="AB9" s="26"/>
      <c r="AC9" s="26"/>
      <c r="AF9" t="s">
        <v>74</v>
      </c>
    </row>
    <row r="10" spans="1:35" ht="19" x14ac:dyDescent="0.25">
      <c r="A10" s="44"/>
      <c r="B10" s="26"/>
      <c r="C10" s="3" t="str" cm="1">
        <f t="array" aca="1" ref="C10" ca="1">_FV(N10,"Ticker symbol",TRUE)</f>
        <v>MSFT</v>
      </c>
      <c r="D10" s="4">
        <v>165</v>
      </c>
      <c r="E10" s="5" cm="1">
        <f t="array" aca="1" ref="E10" ca="1">_FV(N10,"Price")</f>
        <v>410.82010000000002</v>
      </c>
      <c r="F10" s="5">
        <f t="shared" ca="1" si="0"/>
        <v>67785.316500000001</v>
      </c>
      <c r="G10">
        <v>358.88</v>
      </c>
      <c r="H10" s="6">
        <f t="shared" si="1"/>
        <v>59215.199999999997</v>
      </c>
      <c r="I10" s="7" cm="1">
        <f t="array" aca="1" ref="I10" ca="1">_FV(N10,"Change (%)",TRUE)</f>
        <v>-1.4039999999999999E-2</v>
      </c>
      <c r="J10" s="5" cm="1">
        <f t="array" aca="1" ref="J10" ca="1">_FV(N10,"Change")*D10</f>
        <v>-965.23349999999994</v>
      </c>
      <c r="K10" s="8">
        <f t="shared" ca="1" si="3"/>
        <v>0.1447283214444941</v>
      </c>
      <c r="L10" s="9">
        <f t="shared" ca="1" si="2"/>
        <v>8570.1165000000037</v>
      </c>
      <c r="M10" s="26"/>
      <c r="N10" s="26" t="e" vm="8">
        <v>#VALUE!</v>
      </c>
      <c r="O10" s="26"/>
      <c r="P10" s="26"/>
      <c r="Q10" s="26"/>
      <c r="R10" s="26"/>
      <c r="S10" s="50" t="s">
        <v>32</v>
      </c>
      <c r="T10" s="46" cm="1">
        <f t="array" aca="1" ref="T10" ca="1">_FV(N10,"Beta")</f>
        <v>1.1158999999999999</v>
      </c>
      <c r="U10" s="51">
        <f ca="1">H49*T10</f>
        <v>4.3481980876284465E-2</v>
      </c>
      <c r="V10" s="26"/>
      <c r="W10" s="26"/>
      <c r="X10" s="26"/>
      <c r="Y10" s="26"/>
      <c r="Z10" s="26"/>
      <c r="AA10" s="26"/>
      <c r="AB10" s="26"/>
      <c r="AC10" s="26"/>
      <c r="AF10" t="s">
        <v>75</v>
      </c>
    </row>
    <row r="11" spans="1:35" x14ac:dyDescent="0.2">
      <c r="A11" s="26"/>
      <c r="B11" s="26"/>
      <c r="C11" s="3" t="str" cm="1">
        <f t="array" aca="1" ref="C11" ca="1">_FV(N11,"Ticker symbol",TRUE)</f>
        <v>NKE</v>
      </c>
      <c r="D11" s="4">
        <v>850</v>
      </c>
      <c r="E11" s="12" cm="1">
        <f t="array" aca="1" ref="E11" ca="1">_FV(N11,"Price")</f>
        <v>43.395000000000003</v>
      </c>
      <c r="F11" s="5">
        <f t="shared" ca="1" si="0"/>
        <v>36885.75</v>
      </c>
      <c r="G11">
        <v>80.41</v>
      </c>
      <c r="H11" s="6">
        <f t="shared" si="1"/>
        <v>68348.5</v>
      </c>
      <c r="I11" s="7" cm="1">
        <f t="array" aca="1" ref="I11" ca="1">_FV(N11,"Change (%)",TRUE)</f>
        <v>9.6559999999999997E-3</v>
      </c>
      <c r="J11" s="5" cm="1">
        <f t="array" aca="1" ref="J11" ca="1">_FV(N11,"Change")*D11</f>
        <v>352.75</v>
      </c>
      <c r="K11" s="8">
        <f t="shared" ca="1" si="3"/>
        <v>-0.46032831737346092</v>
      </c>
      <c r="L11" s="9">
        <f ca="1">F11-H11</f>
        <v>-31462.75</v>
      </c>
      <c r="M11" s="26"/>
      <c r="N11" s="26" t="e" vm="9">
        <v>#VALUE!</v>
      </c>
      <c r="O11" s="26"/>
      <c r="P11" s="26"/>
      <c r="Q11" s="26"/>
      <c r="R11" s="26"/>
      <c r="S11" s="50" t="s">
        <v>33</v>
      </c>
      <c r="T11" s="46" cm="1">
        <f t="array" aca="1" ref="T11" ca="1">_FV(N11,"Beta")</f>
        <v>1.1197999999999999</v>
      </c>
      <c r="U11" s="51">
        <f ca="1">T11*H65</f>
        <v>2.3743650804047906E-2</v>
      </c>
      <c r="V11" s="26"/>
      <c r="W11" s="26"/>
      <c r="X11" s="26"/>
      <c r="Y11" s="26"/>
      <c r="Z11" s="26"/>
      <c r="AA11" s="26"/>
      <c r="AB11" s="26"/>
      <c r="AC11" s="26"/>
      <c r="AF11" t="s">
        <v>76</v>
      </c>
    </row>
    <row r="12" spans="1:35" x14ac:dyDescent="0.2">
      <c r="A12" s="26"/>
      <c r="B12" s="26"/>
      <c r="C12" s="3" t="str" cm="1">
        <f t="array" aca="1" ref="C12" ca="1">_FV(N12,"Ticker symbol",TRUE)</f>
        <v>NVDA</v>
      </c>
      <c r="D12" s="4">
        <v>600</v>
      </c>
      <c r="E12" s="5" cm="1">
        <f t="array" aca="1" ref="E12" ca="1">_FV(N12,"Price")</f>
        <v>209.07</v>
      </c>
      <c r="F12" s="5">
        <f t="shared" ca="1" si="0"/>
        <v>125442</v>
      </c>
      <c r="G12">
        <v>98.48</v>
      </c>
      <c r="H12" s="6">
        <f t="shared" si="1"/>
        <v>59088</v>
      </c>
      <c r="I12" s="7" cm="1">
        <f t="array" aca="1" ref="I12" ca="1">_FV(N12,"Change (%)",TRUE)</f>
        <v>1.9355999999999998E-2</v>
      </c>
      <c r="J12" s="5" cm="1">
        <f t="array" aca="1" ref="J12" ca="1">_FV(N12,"Change")*D12</f>
        <v>2382</v>
      </c>
      <c r="K12" s="8">
        <f t="shared" ca="1" si="3"/>
        <v>1.1229691307879772</v>
      </c>
      <c r="L12" s="9">
        <f t="shared" ca="1" si="2"/>
        <v>66354</v>
      </c>
      <c r="M12" s="26"/>
      <c r="N12" s="26" t="e" vm="10">
        <v>#VALUE!</v>
      </c>
      <c r="O12" s="26"/>
      <c r="P12" s="26"/>
      <c r="Q12" s="26"/>
      <c r="R12" s="26"/>
      <c r="S12" s="50" t="s">
        <v>34</v>
      </c>
      <c r="T12" s="46" cm="1">
        <f t="array" aca="1" ref="T12" ca="1">_FV(N12,"Beta")</f>
        <v>2.2010999999999998</v>
      </c>
      <c r="U12" s="51">
        <f ca="1">T12*H47</f>
        <v>0.15871981856168588</v>
      </c>
      <c r="V12" s="26"/>
      <c r="W12" s="26"/>
      <c r="X12" s="26"/>
      <c r="Y12" s="26"/>
      <c r="Z12" s="26"/>
      <c r="AA12" s="26"/>
      <c r="AB12" s="26"/>
      <c r="AC12" s="26"/>
      <c r="AF12" t="s">
        <v>77</v>
      </c>
    </row>
    <row r="13" spans="1:35" x14ac:dyDescent="0.2">
      <c r="A13" s="26"/>
      <c r="B13" s="26"/>
      <c r="C13" s="3" t="str" cm="1">
        <f t="array" aca="1" ref="C13" ca="1">_FV(N13,"Ticker symbol",TRUE)</f>
        <v>PG</v>
      </c>
      <c r="D13" s="4">
        <v>320</v>
      </c>
      <c r="E13" s="5" cm="1">
        <f t="array" aca="1" ref="E13" ca="1">_FV(N13,"Price")</f>
        <v>145.37</v>
      </c>
      <c r="F13" s="5">
        <f t="shared" ca="1" si="0"/>
        <v>46518.400000000001</v>
      </c>
      <c r="G13">
        <v>155.72999999999999</v>
      </c>
      <c r="H13" s="6">
        <f t="shared" si="1"/>
        <v>49833.599999999999</v>
      </c>
      <c r="I13" s="7" cm="1">
        <f t="array" aca="1" ref="I13" ca="1">_FV(N13,"Change (%)",TRUE)</f>
        <v>-7.9839999999999998E-3</v>
      </c>
      <c r="J13" s="5" cm="1">
        <f t="array" aca="1" ref="J13" ca="1">_FV(N13,"Change")*D13</f>
        <v>-374.4</v>
      </c>
      <c r="K13" s="8">
        <f t="shared" ca="1" si="3"/>
        <v>-6.6525396519617197E-2</v>
      </c>
      <c r="L13" s="9">
        <f t="shared" ca="1" si="2"/>
        <v>-3315.1999999999971</v>
      </c>
      <c r="M13" s="26"/>
      <c r="N13" s="26" t="e" vm="11">
        <v>#VALUE!</v>
      </c>
      <c r="O13" s="26"/>
      <c r="P13" s="26"/>
      <c r="Q13" s="26"/>
      <c r="R13" s="26"/>
      <c r="S13" s="50" t="s">
        <v>35</v>
      </c>
      <c r="T13" s="46" cm="1">
        <f t="array" aca="1" ref="T13" ca="1">_FV(N13,"Beta")</f>
        <v>0.37519999999999998</v>
      </c>
      <c r="U13" s="51">
        <f ca="1">T13*H67</f>
        <v>1.0033120156923056E-2</v>
      </c>
      <c r="V13" s="26"/>
      <c r="W13" s="26"/>
      <c r="X13" s="26"/>
      <c r="Y13" s="26"/>
      <c r="Z13" s="26"/>
      <c r="AA13" s="26"/>
      <c r="AB13" s="26"/>
      <c r="AC13" s="26"/>
      <c r="AF13" t="s">
        <v>78</v>
      </c>
    </row>
    <row r="14" spans="1:35" x14ac:dyDescent="0.2">
      <c r="A14" s="26"/>
      <c r="B14" s="26"/>
      <c r="C14" s="3" t="str" cm="1">
        <f t="array" aca="1" ref="C14" ca="1">_FV(N14,"Ticker symbol",TRUE)</f>
        <v>PYPL</v>
      </c>
      <c r="D14" s="4">
        <v>940</v>
      </c>
      <c r="E14" s="5" cm="1">
        <f t="array" aca="1" ref="E14" ca="1">_FV(N14,"Price")</f>
        <v>41.204999999999998</v>
      </c>
      <c r="F14" s="5">
        <f t="shared" ca="1" si="0"/>
        <v>38732.699999999997</v>
      </c>
      <c r="G14">
        <v>78</v>
      </c>
      <c r="H14" s="6">
        <f t="shared" si="1"/>
        <v>73320</v>
      </c>
      <c r="I14" s="7" cm="1">
        <f t="array" aca="1" ref="I14" ca="1">_FV(N14,"Change (%)",TRUE)</f>
        <v>-2.0590000000000001E-3</v>
      </c>
      <c r="J14" s="5" cm="1">
        <f t="array" aca="1" ref="J14" ca="1">_FV(N14,"Change")*D14</f>
        <v>-79.900000000000006</v>
      </c>
      <c r="K14" s="8">
        <f t="shared" ca="1" si="3"/>
        <v>-0.47173076923076929</v>
      </c>
      <c r="L14" s="9">
        <f t="shared" ca="1" si="2"/>
        <v>-34587.300000000003</v>
      </c>
      <c r="M14" s="26"/>
      <c r="N14" s="26" t="e" vm="12">
        <v>#VALUE!</v>
      </c>
      <c r="O14" s="26"/>
      <c r="P14" s="26"/>
      <c r="Q14" s="26"/>
      <c r="R14" s="26"/>
      <c r="S14" s="50" t="s">
        <v>36</v>
      </c>
      <c r="T14" s="46" cm="1">
        <f t="array" aca="1" ref="T14" ca="1">_FV(N14,"Beta")</f>
        <v>1.3365</v>
      </c>
      <c r="U14" s="51">
        <f ca="1">T14*H62</f>
        <v>2.975741146196053E-2</v>
      </c>
      <c r="V14" s="26"/>
      <c r="W14" s="26"/>
      <c r="X14" s="26"/>
      <c r="Y14" s="26"/>
      <c r="Z14" s="26"/>
      <c r="AA14" s="26"/>
      <c r="AB14" s="26"/>
      <c r="AC14" s="26"/>
    </row>
    <row r="15" spans="1:35" x14ac:dyDescent="0.2">
      <c r="A15" s="26"/>
      <c r="B15" s="26"/>
      <c r="C15" s="3" t="str" cm="1">
        <f t="array" aca="1" ref="C15" ca="1">_FV(N15,"Ticker symbol",TRUE)</f>
        <v>RTX</v>
      </c>
      <c r="D15" s="4">
        <v>625</v>
      </c>
      <c r="E15" s="5" cm="1">
        <f t="array" aca="1" ref="E15" ca="1">_FV(N15,"Price")</f>
        <v>178.98500000000001</v>
      </c>
      <c r="F15" s="5">
        <f t="shared" ca="1" si="0"/>
        <v>111865.62500000001</v>
      </c>
      <c r="G15">
        <v>105.7</v>
      </c>
      <c r="H15" s="6">
        <f t="shared" si="1"/>
        <v>66062.5</v>
      </c>
      <c r="I15" s="7" cm="1">
        <f t="array" aca="1" ref="I15" ca="1">_FV(N15,"Change (%)",TRUE)</f>
        <v>-1.1077999999999999E-2</v>
      </c>
      <c r="J15" s="5" cm="1">
        <f t="array" aca="1" ref="J15" ca="1">_FV(N15,"Change")*D15</f>
        <v>-1253.125</v>
      </c>
      <c r="K15" s="8">
        <f t="shared" ca="1" si="3"/>
        <v>0.693330179754021</v>
      </c>
      <c r="L15" s="9">
        <f t="shared" ca="1" si="2"/>
        <v>45803.125000000015</v>
      </c>
      <c r="M15" s="26"/>
      <c r="N15" s="26" t="e" vm="13">
        <v>#VALUE!</v>
      </c>
      <c r="O15" s="26"/>
      <c r="P15" s="26"/>
      <c r="Q15" s="26"/>
      <c r="R15" s="26"/>
      <c r="S15" s="50" t="s">
        <v>37</v>
      </c>
      <c r="T15" s="46" cm="1">
        <f t="array" aca="1" ref="T15" ca="1">_FV(N15,"Beta")</f>
        <v>0.30520000000000003</v>
      </c>
      <c r="U15" s="51">
        <f ca="1">T15*H56</f>
        <v>1.9625900721890285E-2</v>
      </c>
      <c r="V15" s="26"/>
      <c r="W15" s="26"/>
      <c r="X15" s="26"/>
      <c r="Y15" s="26"/>
      <c r="Z15" s="26"/>
      <c r="AA15" s="26"/>
      <c r="AB15" s="26"/>
      <c r="AC15" s="26"/>
      <c r="AF15" t="s">
        <v>85</v>
      </c>
    </row>
    <row r="16" spans="1:35" x14ac:dyDescent="0.2">
      <c r="A16" s="26"/>
      <c r="B16" s="26"/>
      <c r="C16" s="3" t="str" cm="1">
        <f t="array" aca="1" ref="C16" ca="1">_FV(N16,"Ticker symbol",TRUE)</f>
        <v>V</v>
      </c>
      <c r="D16" s="4">
        <v>180</v>
      </c>
      <c r="E16" s="5" cm="1">
        <f t="array" aca="1" ref="E16" ca="1">_FV(N16,"Price")</f>
        <v>320.065</v>
      </c>
      <c r="F16" s="5">
        <f t="shared" ca="1" si="0"/>
        <v>57611.7</v>
      </c>
      <c r="G16">
        <v>320</v>
      </c>
      <c r="H16" s="6">
        <f t="shared" si="1"/>
        <v>57600</v>
      </c>
      <c r="I16" s="7" cm="1">
        <f t="array" aca="1" ref="I16" ca="1">_FV(N16,"Change (%)",TRUE)</f>
        <v>-1.0832E-2</v>
      </c>
      <c r="J16" s="5" cm="1">
        <f t="array" aca="1" ref="J16" ca="1">_FV(N16,"Change")*D16</f>
        <v>-630.9</v>
      </c>
      <c r="K16" s="8">
        <f t="shared" ca="1" si="3"/>
        <v>2.0312500000008171E-4</v>
      </c>
      <c r="L16" s="9">
        <f t="shared" ca="1" si="2"/>
        <v>11.69999999999709</v>
      </c>
      <c r="M16" s="26"/>
      <c r="N16" s="26" t="e" vm="14">
        <v>#VALUE!</v>
      </c>
      <c r="O16" s="26"/>
      <c r="P16" s="26"/>
      <c r="Q16" s="26"/>
      <c r="R16" s="26"/>
      <c r="S16" s="50" t="s">
        <v>38</v>
      </c>
      <c r="T16" s="46" cm="1">
        <f t="array" aca="1" ref="T16" ca="1">_FV(N16,"Beta")</f>
        <v>0.76129999999999998</v>
      </c>
      <c r="U16" s="51">
        <f ca="1">T16*H61</f>
        <v>2.5212443341710668E-2</v>
      </c>
      <c r="V16" s="26"/>
      <c r="W16" s="26"/>
      <c r="X16" s="26"/>
      <c r="Y16" s="26"/>
      <c r="Z16" s="26"/>
      <c r="AA16" s="26"/>
      <c r="AB16" s="26"/>
      <c r="AC16" s="26"/>
      <c r="AF16" t="s">
        <v>72</v>
      </c>
    </row>
    <row r="17" spans="1:32" x14ac:dyDescent="0.2">
      <c r="A17" s="26"/>
      <c r="B17" s="26"/>
      <c r="C17" s="3" t="str" cm="1">
        <f t="array" aca="1" ref="C17" ca="1">_FV(N17,"Ticker symbol",TRUE)</f>
        <v>META</v>
      </c>
      <c r="D17" s="4">
        <v>130</v>
      </c>
      <c r="E17" s="5" cm="1">
        <f t="array" aca="1" ref="E17" ca="1">_FV(N17,"Price")</f>
        <v>588.39250000000004</v>
      </c>
      <c r="F17" s="5">
        <f ca="1">D17*E17</f>
        <v>76491.025000000009</v>
      </c>
      <c r="G17">
        <v>673.53</v>
      </c>
      <c r="H17" s="75">
        <f t="shared" si="1"/>
        <v>87558.9</v>
      </c>
      <c r="I17" s="7" cm="1">
        <f t="array" aca="1" ref="I17" ca="1">_FV(N17,"Change (%)",TRUE)</f>
        <v>-7.77E-3</v>
      </c>
      <c r="J17" s="5" cm="1">
        <f t="array" aca="1" ref="J17" ca="1">_FV(N17,"Change")*D17</f>
        <v>-598.97500000000002</v>
      </c>
      <c r="K17" s="66">
        <f ca="1">E17/G17-1</f>
        <v>-0.12640491143675847</v>
      </c>
      <c r="L17" s="67">
        <f ca="1">F17-H17</f>
        <v>-11067.874999999985</v>
      </c>
      <c r="M17" s="26"/>
      <c r="N17" s="26" t="e" vm="15">
        <v>#VALUE!</v>
      </c>
      <c r="O17" s="26"/>
      <c r="P17" s="26"/>
      <c r="Q17" s="26"/>
      <c r="R17" s="26"/>
      <c r="S17" s="50" t="s">
        <v>95</v>
      </c>
      <c r="T17" s="46" cm="1">
        <f t="array" aca="1" ref="T17" ca="1">_FV(N17,"Beta")</f>
        <v>1.2386999999999999</v>
      </c>
      <c r="U17" s="79">
        <f ca="1">T17*H54</f>
        <v>5.4465943743655792E-2</v>
      </c>
      <c r="V17" s="26"/>
      <c r="W17" s="26"/>
      <c r="X17" s="26"/>
      <c r="Y17" s="26"/>
      <c r="Z17" s="26"/>
      <c r="AA17" s="26"/>
      <c r="AB17" s="26"/>
      <c r="AC17" s="26"/>
      <c r="AF17" t="s">
        <v>73</v>
      </c>
    </row>
    <row r="18" spans="1:32" x14ac:dyDescent="0.2">
      <c r="A18" s="45"/>
      <c r="B18" s="26"/>
      <c r="C18" s="3" t="str" cm="1">
        <f t="array" aca="1" ref="C18" ca="1">_FV(N18,"Ticker symbol",TRUE)</f>
        <v>ORCL</v>
      </c>
      <c r="D18" s="4">
        <v>480</v>
      </c>
      <c r="E18" s="5" cm="1">
        <f t="array" aca="1" ref="E18" ca="1">_FV(N18,"Price")</f>
        <v>213.76</v>
      </c>
      <c r="F18" s="5">
        <f ca="1">D18*E18</f>
        <v>102604.79999999999</v>
      </c>
      <c r="G18">
        <v>177.58</v>
      </c>
      <c r="H18" s="75">
        <f t="shared" si="1"/>
        <v>85238.400000000009</v>
      </c>
      <c r="I18" s="7" cm="1">
        <f t="array" aca="1" ref="I18" ca="1">_FV(N18,"Change (%)",TRUE)</f>
        <v>3.7439999999999999E-4</v>
      </c>
      <c r="J18" s="5" cm="1">
        <f t="array" aca="1" ref="J18" ca="1">_FV(N18,"Change")*D18</f>
        <v>38.4</v>
      </c>
      <c r="K18" s="66">
        <f ca="1">E18/G18-1</f>
        <v>0.20373915981529445</v>
      </c>
      <c r="L18" s="67">
        <f ca="1">F18-H18</f>
        <v>17366.39999999998</v>
      </c>
      <c r="M18" s="26"/>
      <c r="N18" s="26" t="e" vm="16">
        <v>#VALUE!</v>
      </c>
      <c r="O18" s="26"/>
      <c r="P18" s="26"/>
      <c r="Q18" s="38"/>
      <c r="R18" s="26"/>
      <c r="S18" s="50" t="s">
        <v>96</v>
      </c>
      <c r="T18" s="46" cm="1">
        <f t="array" aca="1" ref="T18" ca="1">_FV(N18,"Beta")</f>
        <v>1.6594</v>
      </c>
      <c r="U18" s="51">
        <f ca="1">T18*H50</f>
        <v>9.7873964179485309E-2</v>
      </c>
      <c r="V18" s="26"/>
      <c r="W18" s="26"/>
      <c r="X18" s="26"/>
      <c r="Y18" s="26"/>
      <c r="Z18" s="26"/>
      <c r="AA18" s="26"/>
      <c r="AB18" s="26"/>
      <c r="AC18" s="26"/>
      <c r="AF18" t="s">
        <v>74</v>
      </c>
    </row>
    <row r="19" spans="1:32" x14ac:dyDescent="0.2">
      <c r="A19" s="26"/>
      <c r="B19" s="26"/>
      <c r="C19" s="3" t="str" cm="1">
        <f t="array" aca="1" ref="C19" ca="1">_FV(N19,"Ticker symbol",TRUE)</f>
        <v>APH</v>
      </c>
      <c r="D19" s="4">
        <v>560</v>
      </c>
      <c r="E19" s="5" cm="1">
        <f t="array" aca="1" ref="E19" ca="1">_FV(N19,"Price")</f>
        <v>143.65</v>
      </c>
      <c r="F19" s="5">
        <f t="shared" ref="F19:F20" ca="1" si="4">D19*E19</f>
        <v>80444</v>
      </c>
      <c r="G19">
        <v>150.44999999999999</v>
      </c>
      <c r="H19" s="75">
        <f t="shared" si="1"/>
        <v>84252</v>
      </c>
      <c r="I19" s="7" cm="1">
        <f t="array" aca="1" ref="I19" ca="1">_FV(N19,"Change (%)",TRUE)</f>
        <v>3.4868000000000003E-2</v>
      </c>
      <c r="J19" s="5" cm="1">
        <f t="array" aca="1" ref="J19" ca="1">_FV(N19,"Change")*D19</f>
        <v>2710.4</v>
      </c>
      <c r="K19" s="66">
        <f t="shared" ref="K19:K20" ca="1" si="5">E19/G19-1</f>
        <v>-4.5197740112994267E-2</v>
      </c>
      <c r="L19" s="67">
        <f t="shared" ref="L19:L20" ca="1" si="6">F19-H19</f>
        <v>-3808</v>
      </c>
      <c r="M19" s="26"/>
      <c r="N19" s="26" t="e" vm="17">
        <v>#VALUE!</v>
      </c>
      <c r="O19" s="26"/>
      <c r="P19" s="26"/>
      <c r="Q19" s="26"/>
      <c r="R19" s="26"/>
      <c r="S19" s="50" t="s">
        <v>93</v>
      </c>
      <c r="T19" s="46" cm="1">
        <f t="array" aca="1" ref="T19" ca="1">_FV(N19,"Beta")</f>
        <v>1.2886</v>
      </c>
      <c r="U19" s="51">
        <f ca="1">T19*H51</f>
        <v>5.9588190742703939E-2</v>
      </c>
      <c r="V19" s="26"/>
      <c r="W19" s="26"/>
      <c r="X19" s="26"/>
      <c r="Y19" s="26"/>
      <c r="Z19" s="26"/>
      <c r="AA19" s="26"/>
      <c r="AB19" s="26"/>
      <c r="AC19" s="26"/>
      <c r="AF19" t="s">
        <v>75</v>
      </c>
    </row>
    <row r="20" spans="1:32" ht="17" thickBot="1" x14ac:dyDescent="0.25">
      <c r="A20" s="26"/>
      <c r="B20" s="26"/>
      <c r="C20" s="59" t="str" cm="1">
        <f t="array" aca="1" ref="C20" ca="1">_FV(N20,"Ticker symbol",TRUE)</f>
        <v>COST</v>
      </c>
      <c r="D20" s="74">
        <v>84</v>
      </c>
      <c r="E20" s="5" cm="1">
        <f t="array" aca="1" ref="E20" ca="1">_FV(N20,"Price")</f>
        <v>973.06</v>
      </c>
      <c r="F20" s="5">
        <f t="shared" ca="1" si="4"/>
        <v>81737.039999999994</v>
      </c>
      <c r="G20">
        <v>1010.76</v>
      </c>
      <c r="H20" s="75">
        <f t="shared" si="1"/>
        <v>84903.84</v>
      </c>
      <c r="I20" s="7" cm="1">
        <f t="array" aca="1" ref="I20" ca="1">_FV(N20,"Change (%)",TRUE)</f>
        <v>1.224E-3</v>
      </c>
      <c r="J20" s="5" cm="1">
        <f t="array" aca="1" ref="J20" ca="1">_FV(N20,"Change")*D20</f>
        <v>99.96</v>
      </c>
      <c r="K20" s="66">
        <f t="shared" ca="1" si="5"/>
        <v>-3.7298666350073284E-2</v>
      </c>
      <c r="L20" s="68">
        <f t="shared" ca="1" si="6"/>
        <v>-3166.8000000000029</v>
      </c>
      <c r="M20" s="26"/>
      <c r="N20" s="26" t="e" vm="18">
        <v>#VALUE!</v>
      </c>
      <c r="O20" s="26"/>
      <c r="P20" s="26"/>
      <c r="Q20" s="26"/>
      <c r="R20" s="26"/>
      <c r="S20" s="77" t="s">
        <v>94</v>
      </c>
      <c r="T20" s="46" cm="1">
        <f t="array" aca="1" ref="T20" ca="1">_FV(N20,"Beta")</f>
        <v>0.86629999999999996</v>
      </c>
      <c r="U20" s="80">
        <f ca="1">T20*H68</f>
        <v>4.0703863720750355E-2</v>
      </c>
      <c r="V20" s="26"/>
      <c r="W20" s="26"/>
      <c r="X20" s="26"/>
      <c r="Y20" s="26"/>
      <c r="Z20" s="26"/>
      <c r="AA20" s="26"/>
      <c r="AB20" s="26"/>
      <c r="AC20" s="26"/>
      <c r="AF20" t="s">
        <v>76</v>
      </c>
    </row>
    <row r="21" spans="1:32" ht="20" thickBot="1" x14ac:dyDescent="0.3">
      <c r="A21" s="26"/>
      <c r="B21" s="38"/>
      <c r="C21" s="60" t="s">
        <v>11</v>
      </c>
      <c r="D21" s="61" t="s">
        <v>12</v>
      </c>
      <c r="E21" s="61" t="s">
        <v>12</v>
      </c>
      <c r="F21" s="62">
        <f ca="1">SUM(F4:F20)</f>
        <v>1739608.7564999999</v>
      </c>
      <c r="G21" s="61" t="s">
        <v>12</v>
      </c>
      <c r="H21" s="63">
        <f>SUM(H4:H20)</f>
        <v>1345356.8399999999</v>
      </c>
      <c r="I21" s="64">
        <f ca="1">J21/F21</f>
        <v>1.9209204296736465E-5</v>
      </c>
      <c r="J21" s="62">
        <f ca="1">SUM(J4:J18)</f>
        <v>33.416500000000177</v>
      </c>
      <c r="K21" s="65">
        <f ca="1">L21/H21</f>
        <v>0.29304635378372929</v>
      </c>
      <c r="L21" s="73">
        <f ca="1">F21-H21</f>
        <v>394251.91650000005</v>
      </c>
      <c r="M21" s="26"/>
      <c r="N21" s="26"/>
      <c r="O21" s="26"/>
      <c r="P21" s="26"/>
      <c r="Q21" s="26"/>
      <c r="R21" s="26"/>
      <c r="S21" s="52" t="s">
        <v>86</v>
      </c>
      <c r="T21" s="53">
        <f ca="1">SUM(U4:U20)</f>
        <v>1.2156833887044474</v>
      </c>
      <c r="U21" s="54"/>
      <c r="V21" s="26"/>
      <c r="W21" s="26"/>
      <c r="X21" s="26"/>
      <c r="Y21" s="26"/>
      <c r="Z21" s="26"/>
      <c r="AA21" s="26"/>
      <c r="AB21" s="26"/>
      <c r="AC21" s="26"/>
      <c r="AF21" t="s">
        <v>77</v>
      </c>
    </row>
    <row r="22" spans="1:32" ht="34" x14ac:dyDescent="0.4">
      <c r="A22" s="26"/>
      <c r="B22" s="26"/>
      <c r="C22" s="26"/>
      <c r="D22" s="26"/>
      <c r="E22" s="26"/>
      <c r="F22" s="26"/>
      <c r="G22" s="26"/>
      <c r="H22" s="26"/>
      <c r="I22" s="26"/>
      <c r="J22" s="26"/>
      <c r="K22" s="26"/>
      <c r="L22" s="26"/>
      <c r="M22" s="26"/>
      <c r="N22" s="41" t="s">
        <v>18</v>
      </c>
      <c r="O22" s="26"/>
      <c r="P22" s="26"/>
      <c r="Q22" s="26"/>
      <c r="R22" s="26"/>
      <c r="S22" s="26"/>
      <c r="T22" s="26"/>
      <c r="U22" s="26"/>
      <c r="V22" s="26"/>
      <c r="W22" s="26"/>
      <c r="X22" s="26"/>
      <c r="Y22" s="26"/>
      <c r="Z22" s="26"/>
      <c r="AA22" s="26"/>
      <c r="AB22" s="26"/>
      <c r="AC22" s="26"/>
      <c r="AF22" t="s">
        <v>78</v>
      </c>
    </row>
    <row r="23" spans="1:32" ht="19" x14ac:dyDescent="0.25">
      <c r="A23" s="26"/>
      <c r="B23" s="26"/>
      <c r="C23" s="26"/>
      <c r="D23" s="26"/>
      <c r="E23" s="26"/>
      <c r="F23" s="26"/>
      <c r="G23" s="26"/>
      <c r="H23" s="26"/>
      <c r="I23" s="26"/>
      <c r="J23" s="26"/>
      <c r="K23" s="26"/>
      <c r="L23" s="26"/>
      <c r="M23" s="26"/>
      <c r="N23" s="39">
        <f ca="1">'YTD Gains, ETC 2026'!H21</f>
        <v>39662.116499999967</v>
      </c>
      <c r="O23" s="40">
        <f ca="1">'YTD Gains, ETC 2026'!S19</f>
        <v>2.3331389095836652E-2</v>
      </c>
      <c r="P23" s="26"/>
      <c r="Q23" s="26"/>
      <c r="R23" s="26"/>
      <c r="S23" s="26"/>
      <c r="T23" s="26"/>
      <c r="U23" s="26"/>
      <c r="V23" s="26"/>
      <c r="W23" s="26"/>
      <c r="X23" s="26"/>
      <c r="Y23" s="26"/>
      <c r="Z23" s="26"/>
      <c r="AA23" s="26"/>
      <c r="AB23" s="26"/>
      <c r="AC23" s="26"/>
    </row>
    <row r="24" spans="1:32"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row>
    <row r="25" spans="1:32"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row>
    <row r="26" spans="1:32" x14ac:dyDescent="0.2">
      <c r="A26" s="26"/>
      <c r="B26" s="26"/>
      <c r="M26" s="26"/>
      <c r="N26" s="26"/>
      <c r="O26" s="26"/>
      <c r="P26" s="26"/>
      <c r="Q26" s="26"/>
      <c r="R26" s="26"/>
      <c r="S26" s="26"/>
      <c r="T26" s="26"/>
      <c r="U26" s="26"/>
      <c r="V26" s="26"/>
      <c r="W26" s="26"/>
      <c r="X26" s="26"/>
      <c r="Y26" s="26"/>
      <c r="Z26" s="26"/>
      <c r="AA26" s="26"/>
      <c r="AB26" s="26"/>
      <c r="AC26" s="26"/>
    </row>
    <row r="27" spans="1:32" x14ac:dyDescent="0.2">
      <c r="A27" s="26"/>
      <c r="B27" s="26"/>
      <c r="M27" s="26"/>
      <c r="N27" s="26"/>
      <c r="O27" s="26"/>
      <c r="P27" s="26"/>
      <c r="Q27" s="26"/>
      <c r="R27" s="26"/>
      <c r="S27" s="26"/>
      <c r="T27" s="26"/>
      <c r="U27" s="26"/>
      <c r="V27" s="26"/>
      <c r="W27" s="26"/>
      <c r="X27" s="26"/>
      <c r="Y27" s="26"/>
      <c r="Z27" s="26"/>
      <c r="AA27" s="26"/>
      <c r="AB27" s="26"/>
      <c r="AC27" s="26"/>
    </row>
    <row r="28" spans="1:32" x14ac:dyDescent="0.2">
      <c r="A28" s="26"/>
      <c r="B28" s="26"/>
      <c r="K28" s="26"/>
      <c r="L28" s="26"/>
      <c r="M28" s="26"/>
      <c r="N28" s="26"/>
      <c r="O28" s="26"/>
      <c r="P28" s="26"/>
      <c r="Q28" s="26"/>
      <c r="R28" s="26"/>
      <c r="S28" s="26"/>
      <c r="T28" s="26"/>
      <c r="U28" s="26"/>
      <c r="V28" s="26"/>
      <c r="W28" s="26"/>
      <c r="X28" s="26"/>
      <c r="Y28" s="26"/>
      <c r="Z28" s="26"/>
      <c r="AA28" s="26"/>
      <c r="AB28" s="26"/>
      <c r="AC28" s="26"/>
    </row>
    <row r="29" spans="1:32" x14ac:dyDescent="0.2">
      <c r="A29" s="26"/>
      <c r="B29" s="26"/>
      <c r="K29" s="26"/>
      <c r="L29" s="26"/>
      <c r="M29" s="26"/>
      <c r="N29" s="26"/>
      <c r="O29" s="26"/>
      <c r="P29" s="26"/>
      <c r="Q29" s="26"/>
      <c r="R29" s="26"/>
      <c r="S29" s="26"/>
      <c r="T29" s="26"/>
      <c r="U29" s="26"/>
      <c r="V29" s="26"/>
      <c r="W29" s="26"/>
      <c r="X29" s="26"/>
      <c r="Y29" s="26"/>
      <c r="Z29" s="26"/>
      <c r="AA29" s="26"/>
      <c r="AB29" s="26"/>
      <c r="AC29" s="26"/>
    </row>
    <row r="30" spans="1:32" x14ac:dyDescent="0.2">
      <c r="A30" s="26"/>
      <c r="B30" s="26"/>
      <c r="K30" s="26"/>
      <c r="L30" s="26"/>
      <c r="M30" s="26"/>
      <c r="N30" s="26"/>
      <c r="O30" s="26"/>
      <c r="P30" s="26"/>
      <c r="Q30" s="26"/>
      <c r="R30" s="26"/>
      <c r="S30" s="26"/>
      <c r="T30" s="26"/>
      <c r="U30" s="26"/>
      <c r="V30" s="26"/>
      <c r="W30" s="26"/>
      <c r="X30" s="26"/>
      <c r="Y30" s="26"/>
      <c r="Z30" s="26"/>
      <c r="AA30" s="26"/>
      <c r="AB30" s="26"/>
      <c r="AC30" s="26"/>
    </row>
    <row r="31" spans="1:32" x14ac:dyDescent="0.2">
      <c r="A31" s="26"/>
      <c r="B31" s="26"/>
      <c r="K31" s="26"/>
      <c r="L31" s="26"/>
      <c r="M31" s="26"/>
      <c r="N31" s="26"/>
      <c r="O31" s="26"/>
      <c r="P31" s="26"/>
      <c r="Q31" s="26"/>
      <c r="R31" s="26"/>
      <c r="S31" s="26"/>
      <c r="T31" s="26"/>
      <c r="U31" s="26"/>
      <c r="V31" s="26"/>
      <c r="W31" s="26"/>
      <c r="X31" s="26"/>
      <c r="Y31" s="26"/>
      <c r="Z31" s="26"/>
      <c r="AA31" s="26"/>
      <c r="AB31" s="26"/>
      <c r="AC31" s="26"/>
    </row>
    <row r="32" spans="1:32" x14ac:dyDescent="0.2">
      <c r="A32" s="26"/>
      <c r="B32" s="26"/>
      <c r="K32" s="26"/>
      <c r="L32" s="26"/>
      <c r="M32" s="26"/>
      <c r="N32" s="26"/>
      <c r="O32" s="26"/>
      <c r="P32" s="26"/>
      <c r="Q32" s="26"/>
      <c r="R32" s="26"/>
      <c r="S32" s="26"/>
      <c r="T32" s="26"/>
      <c r="U32" s="26"/>
      <c r="V32" s="26"/>
      <c r="W32" s="26"/>
      <c r="X32" s="26"/>
      <c r="Y32" s="69"/>
      <c r="Z32" s="26"/>
      <c r="AA32" s="26"/>
      <c r="AB32" s="26"/>
      <c r="AC32" s="26"/>
    </row>
    <row r="33" spans="1:29" x14ac:dyDescent="0.2">
      <c r="A33" s="26"/>
      <c r="B33" s="26"/>
      <c r="K33" s="26"/>
      <c r="L33" s="26"/>
      <c r="M33" s="26"/>
      <c r="N33" s="26"/>
      <c r="O33" s="26"/>
      <c r="P33" s="26"/>
      <c r="Q33" s="26"/>
      <c r="R33" s="26"/>
      <c r="S33" s="26"/>
      <c r="T33" s="26"/>
      <c r="U33" s="26"/>
      <c r="V33" s="26"/>
      <c r="W33" s="26"/>
      <c r="X33" s="26"/>
      <c r="Y33" s="26"/>
      <c r="Z33" s="26"/>
      <c r="AA33" s="26"/>
      <c r="AB33" s="26"/>
      <c r="AC33" s="26"/>
    </row>
    <row r="34" spans="1:29" x14ac:dyDescent="0.2">
      <c r="A34" s="26"/>
      <c r="B34" s="26"/>
      <c r="K34" s="26"/>
      <c r="L34" s="26"/>
      <c r="M34" s="26"/>
      <c r="N34" s="26"/>
      <c r="O34" s="26"/>
      <c r="P34" s="26"/>
      <c r="Q34" s="26"/>
      <c r="R34" s="26"/>
      <c r="S34" s="26"/>
      <c r="T34" s="26"/>
      <c r="U34" s="26"/>
      <c r="V34" s="26"/>
      <c r="W34" s="26"/>
      <c r="X34" s="26"/>
      <c r="Y34" s="70"/>
      <c r="Z34" s="26"/>
      <c r="AA34" s="28"/>
      <c r="AB34" s="28"/>
      <c r="AC34" s="26"/>
    </row>
    <row r="35" spans="1:29"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c r="Y35" s="70"/>
      <c r="Z35" s="26"/>
      <c r="AA35" s="28"/>
      <c r="AB35" s="28"/>
      <c r="AC35" s="26"/>
    </row>
    <row r="36" spans="1:29" x14ac:dyDescent="0.2">
      <c r="A36" s="26"/>
      <c r="B36" s="26"/>
      <c r="K36" s="26"/>
      <c r="L36" s="26"/>
      <c r="M36" s="26"/>
      <c r="N36" s="26"/>
      <c r="O36" s="26"/>
      <c r="P36" s="26"/>
      <c r="Q36" s="26"/>
      <c r="R36" s="26"/>
      <c r="S36" s="26"/>
      <c r="T36" s="26"/>
      <c r="U36" s="26"/>
      <c r="V36" s="26"/>
      <c r="W36" s="26"/>
      <c r="X36" s="26"/>
      <c r="Y36" s="70"/>
      <c r="Z36" s="26"/>
      <c r="AA36" s="28"/>
      <c r="AB36" s="28"/>
      <c r="AC36" s="26"/>
    </row>
    <row r="37" spans="1:29" x14ac:dyDescent="0.2">
      <c r="A37" s="26"/>
      <c r="B37" s="26"/>
      <c r="K37" s="26"/>
      <c r="L37" s="26" t="s">
        <v>26</v>
      </c>
      <c r="M37" s="26"/>
      <c r="N37" s="26"/>
      <c r="O37" s="26"/>
      <c r="P37" s="38"/>
      <c r="Q37" s="26"/>
      <c r="R37" s="26"/>
      <c r="S37" s="26"/>
      <c r="T37" s="26"/>
      <c r="U37" s="26"/>
      <c r="V37" s="26"/>
      <c r="W37" s="26"/>
      <c r="X37" s="26"/>
      <c r="Y37" s="70"/>
      <c r="Z37" s="26"/>
      <c r="AA37" s="28"/>
      <c r="AB37" s="28"/>
      <c r="AC37" s="26"/>
    </row>
    <row r="38" spans="1:29" x14ac:dyDescent="0.2">
      <c r="A38" s="26"/>
      <c r="B38" s="26"/>
      <c r="K38" s="26"/>
      <c r="L38" s="26"/>
      <c r="M38" s="26"/>
      <c r="N38" s="26"/>
      <c r="O38" s="26"/>
      <c r="P38" s="26"/>
      <c r="Q38" s="26"/>
      <c r="R38" s="26"/>
      <c r="S38" s="26"/>
      <c r="T38" s="26"/>
      <c r="U38" s="26"/>
      <c r="V38" s="26"/>
      <c r="W38" s="26"/>
      <c r="X38" s="26"/>
      <c r="Y38" s="70"/>
      <c r="Z38" s="26"/>
      <c r="AA38" s="28"/>
      <c r="AB38" s="28"/>
      <c r="AC38" s="26"/>
    </row>
    <row r="39" spans="1:29" x14ac:dyDescent="0.2">
      <c r="A39" s="26"/>
      <c r="B39" s="26"/>
      <c r="K39" s="26"/>
      <c r="L39" s="26"/>
      <c r="M39" s="26"/>
      <c r="N39" s="26"/>
      <c r="O39" s="26"/>
      <c r="P39" s="26"/>
      <c r="Q39" s="26"/>
      <c r="R39" s="26"/>
      <c r="S39" s="26"/>
      <c r="T39" s="26"/>
      <c r="U39" s="26"/>
      <c r="V39" s="26"/>
      <c r="W39" s="26"/>
      <c r="X39" s="26"/>
      <c r="Y39" s="70"/>
      <c r="Z39" s="26"/>
      <c r="AA39" s="28"/>
      <c r="AB39" s="28"/>
      <c r="AC39" s="26"/>
    </row>
    <row r="40" spans="1:29" x14ac:dyDescent="0.2">
      <c r="A40" s="26"/>
      <c r="B40" s="26"/>
      <c r="K40" s="26"/>
      <c r="L40" s="26"/>
      <c r="M40" s="26"/>
      <c r="N40" s="26"/>
      <c r="O40" s="26"/>
      <c r="P40" s="26"/>
      <c r="Q40" s="26"/>
      <c r="R40" s="26"/>
      <c r="S40" s="26"/>
      <c r="T40" s="26"/>
      <c r="U40" s="26"/>
      <c r="V40" s="26"/>
      <c r="W40" s="26"/>
      <c r="X40" s="26"/>
      <c r="Y40" s="70"/>
      <c r="Z40" s="26"/>
      <c r="AA40" s="28"/>
      <c r="AB40" s="28"/>
      <c r="AC40" s="26"/>
    </row>
    <row r="41" spans="1:29"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70"/>
      <c r="Z41" s="26"/>
      <c r="AA41" s="28"/>
      <c r="AB41" s="28"/>
      <c r="AC41" s="26"/>
    </row>
    <row r="42" spans="1:29" x14ac:dyDescent="0.2">
      <c r="A42" s="26"/>
      <c r="B42" s="26"/>
      <c r="C42" s="26"/>
      <c r="D42" s="26"/>
      <c r="E42" s="26"/>
      <c r="F42" s="26"/>
      <c r="G42" s="26"/>
      <c r="H42" s="26"/>
      <c r="I42" s="26"/>
      <c r="J42" s="26"/>
      <c r="K42" s="26"/>
      <c r="L42" s="26"/>
      <c r="M42" s="26"/>
      <c r="N42" s="26"/>
      <c r="O42" s="26"/>
      <c r="P42" s="26"/>
      <c r="Q42" s="26"/>
      <c r="R42" s="26"/>
      <c r="S42" s="71"/>
      <c r="T42" s="26"/>
      <c r="U42" s="26"/>
      <c r="V42" s="26"/>
      <c r="W42" s="26"/>
      <c r="X42" s="26"/>
      <c r="Y42" s="70"/>
      <c r="Z42" s="26"/>
      <c r="AA42" s="28"/>
      <c r="AB42" s="28"/>
      <c r="AC42" s="26"/>
    </row>
    <row r="43" spans="1:29" ht="29" x14ac:dyDescent="0.35">
      <c r="A43" s="26"/>
      <c r="B43" s="26"/>
      <c r="C43" s="26"/>
      <c r="D43" s="26"/>
      <c r="E43" s="31" t="s">
        <v>44</v>
      </c>
      <c r="F43" s="26"/>
      <c r="G43" s="26"/>
      <c r="H43" s="26"/>
      <c r="I43" s="26"/>
      <c r="J43" s="26"/>
      <c r="K43" s="26"/>
      <c r="L43" s="26"/>
      <c r="M43" s="26"/>
      <c r="N43" s="26"/>
      <c r="O43" s="26"/>
      <c r="P43" s="26"/>
      <c r="Q43" s="26"/>
      <c r="R43" s="26"/>
      <c r="S43" s="14" t="s">
        <v>92</v>
      </c>
      <c r="T43" s="47" t="s">
        <v>89</v>
      </c>
      <c r="U43" s="49" t="s">
        <v>90</v>
      </c>
      <c r="V43" s="26"/>
      <c r="W43" s="26"/>
      <c r="X43" s="26"/>
      <c r="Y43" s="70"/>
      <c r="Z43" s="26"/>
      <c r="AA43" s="28"/>
      <c r="AB43" s="28"/>
      <c r="AC43" s="26"/>
    </row>
    <row r="44" spans="1:29" x14ac:dyDescent="0.2">
      <c r="A44" s="26"/>
      <c r="B44" s="26"/>
      <c r="C44" s="29" t="s">
        <v>45</v>
      </c>
      <c r="D44" s="30"/>
      <c r="E44" s="30"/>
      <c r="F44" s="30"/>
      <c r="G44" s="29" t="s">
        <v>46</v>
      </c>
      <c r="H44" s="35" t="s">
        <v>47</v>
      </c>
      <c r="I44" s="35" t="s">
        <v>4</v>
      </c>
      <c r="J44" s="35" t="s">
        <v>48</v>
      </c>
      <c r="K44" s="26"/>
      <c r="L44" s="26"/>
      <c r="M44" s="26"/>
      <c r="N44" s="26"/>
      <c r="O44" s="26"/>
      <c r="P44" s="26"/>
      <c r="Q44" s="26"/>
      <c r="R44" s="26"/>
      <c r="S44" s="50" t="s">
        <v>27</v>
      </c>
      <c r="T44" s="46" cm="1">
        <f t="array" aca="1" ref="T44" ca="1">_FV(N4,"P/E",TRUE)</f>
        <v>0</v>
      </c>
      <c r="U44" s="43">
        <f ca="1">T44*H48</f>
        <v>0</v>
      </c>
      <c r="V44" s="26"/>
      <c r="W44" s="26"/>
      <c r="X44" s="26"/>
      <c r="Y44" s="70"/>
      <c r="Z44" s="26"/>
      <c r="AA44" s="28"/>
      <c r="AB44" s="28"/>
      <c r="AC44" s="26"/>
    </row>
    <row r="45" spans="1:29" x14ac:dyDescent="0.2">
      <c r="A45" s="26"/>
      <c r="B45" s="26"/>
      <c r="C45" s="26"/>
      <c r="D45" s="26"/>
      <c r="E45" s="26"/>
      <c r="F45" s="26"/>
      <c r="G45" s="26">
        <v>17</v>
      </c>
      <c r="H45" s="37">
        <f ca="1">SUM(H46,H52,H55,H57,H59,H63,H66,H69)</f>
        <v>1</v>
      </c>
      <c r="I45" s="33">
        <f ca="1">SUM(I47:I51,I53:I54,I56,I58,I60:I62,I64:I65,I67:I68,I70)</f>
        <v>1739608.7564999999</v>
      </c>
      <c r="J45" s="26"/>
      <c r="K45" s="26"/>
      <c r="L45" s="26"/>
      <c r="M45" s="26"/>
      <c r="N45" s="26"/>
      <c r="O45" s="26"/>
      <c r="P45" s="26"/>
      <c r="Q45" s="26"/>
      <c r="R45" s="26"/>
      <c r="S45" s="50" t="s">
        <v>28</v>
      </c>
      <c r="T45" s="46" cm="1">
        <f t="array" aca="1" ref="T45" ca="1">_FV(N5,"P/E",TRUE)</f>
        <v>21.590699999999998</v>
      </c>
      <c r="U45" s="43">
        <f ca="1">T45*H64</f>
        <v>0.61148933306142506</v>
      </c>
      <c r="V45" s="26"/>
      <c r="W45" s="26"/>
      <c r="X45" s="26"/>
      <c r="Y45" s="70"/>
      <c r="Z45" s="26"/>
      <c r="AA45" s="28"/>
      <c r="AB45" s="28"/>
      <c r="AC45" s="26"/>
    </row>
    <row r="46" spans="1:29" x14ac:dyDescent="0.2">
      <c r="A46" s="26"/>
      <c r="B46" s="26"/>
      <c r="C46" s="29" t="s">
        <v>49</v>
      </c>
      <c r="D46" s="30"/>
      <c r="E46" s="30"/>
      <c r="F46" s="30"/>
      <c r="G46" s="29">
        <v>5</v>
      </c>
      <c r="H46" s="36">
        <f ca="1">I46/I45</f>
        <v>0.27535537212616923</v>
      </c>
      <c r="I46" s="34">
        <f ca="1">SUM(I47:I51)</f>
        <v>479010.6165</v>
      </c>
      <c r="J46" s="30"/>
      <c r="K46" s="26"/>
      <c r="L46" s="26"/>
      <c r="M46" s="26"/>
      <c r="N46" s="26"/>
      <c r="O46" s="26"/>
      <c r="P46" s="26"/>
      <c r="Q46" s="26"/>
      <c r="R46" s="26"/>
      <c r="S46" s="50" t="s">
        <v>29</v>
      </c>
      <c r="T46" s="46" cm="1">
        <f t="array" aca="1" ref="T46" ca="1">_FV(N6,"P/E",TRUE)</f>
        <v>25.969899999999999</v>
      </c>
      <c r="U46" s="43">
        <f ca="1">T46*H60</f>
        <v>1.0426707107748454</v>
      </c>
      <c r="V46" s="26"/>
      <c r="W46" s="26"/>
      <c r="X46" s="26"/>
      <c r="Y46" s="70"/>
      <c r="Z46" s="26"/>
      <c r="AA46" s="28"/>
      <c r="AB46" s="28"/>
      <c r="AC46" s="26"/>
    </row>
    <row r="47" spans="1:29" x14ac:dyDescent="0.2">
      <c r="A47" s="26"/>
      <c r="B47" s="26"/>
      <c r="C47" s="26" t="s">
        <v>34</v>
      </c>
      <c r="D47" s="26"/>
      <c r="E47" s="26" t="s">
        <v>57</v>
      </c>
      <c r="F47" s="26"/>
      <c r="G47" s="26"/>
      <c r="H47" s="28">
        <f ca="1">I47/I45</f>
        <v>7.2109317414786198E-2</v>
      </c>
      <c r="I47" s="33">
        <f ca="1">F12</f>
        <v>125442</v>
      </c>
      <c r="J47" s="27">
        <f>D12</f>
        <v>600</v>
      </c>
      <c r="K47" s="26"/>
      <c r="L47" s="26"/>
      <c r="M47" s="26"/>
      <c r="N47" s="26"/>
      <c r="O47" s="26"/>
      <c r="P47" s="26"/>
      <c r="Q47" s="26"/>
      <c r="R47" s="26"/>
      <c r="S47" s="50" t="s">
        <v>30</v>
      </c>
      <c r="T47" s="46" cm="1">
        <f t="array" aca="1" ref="T47" ca="1">_FV(N7,"P/E",TRUE)</f>
        <v>20.1843</v>
      </c>
      <c r="U47" s="43">
        <f ca="1">T47*H58</f>
        <v>0.89551426576760862</v>
      </c>
      <c r="V47" s="26"/>
      <c r="W47" s="26"/>
      <c r="X47" s="26"/>
      <c r="Y47" s="70"/>
      <c r="Z47" s="26"/>
      <c r="AA47" s="28"/>
      <c r="AB47" s="28"/>
      <c r="AC47" s="26"/>
    </row>
    <row r="48" spans="1:29" x14ac:dyDescent="0.2">
      <c r="A48" s="26"/>
      <c r="B48" s="26"/>
      <c r="C48" s="26" t="s">
        <v>27</v>
      </c>
      <c r="D48" s="26"/>
      <c r="E48" s="26" t="s">
        <v>58</v>
      </c>
      <c r="F48" s="26"/>
      <c r="G48" s="26"/>
      <c r="H48" s="28">
        <f ca="1">I48/I45</f>
        <v>5.9056095007647774E-2</v>
      </c>
      <c r="I48" s="33">
        <f ca="1">F4</f>
        <v>102734.5</v>
      </c>
      <c r="J48" s="27">
        <f>D4</f>
        <v>1100</v>
      </c>
      <c r="K48" s="26"/>
      <c r="L48" s="26"/>
      <c r="M48" s="26"/>
      <c r="N48" s="26"/>
      <c r="O48" s="26"/>
      <c r="P48" s="26"/>
      <c r="Q48" s="26"/>
      <c r="R48" s="26"/>
      <c r="S48" s="50" t="s">
        <v>22</v>
      </c>
      <c r="T48" s="26">
        <v>28.43</v>
      </c>
      <c r="U48" s="43">
        <f ca="1">T48*H70</f>
        <v>7.6909986397852439</v>
      </c>
      <c r="V48" s="26"/>
      <c r="W48" s="26"/>
      <c r="X48" s="26"/>
      <c r="Y48" s="70"/>
      <c r="Z48" s="26"/>
      <c r="AA48" s="28"/>
      <c r="AB48" s="28"/>
      <c r="AC48" s="26"/>
    </row>
    <row r="49" spans="1:29" x14ac:dyDescent="0.2">
      <c r="A49" s="26"/>
      <c r="B49" s="26"/>
      <c r="C49" s="26" t="s">
        <v>32</v>
      </c>
      <c r="D49" s="26"/>
      <c r="E49" s="26" t="s">
        <v>59</v>
      </c>
      <c r="F49" s="26"/>
      <c r="G49" s="26"/>
      <c r="H49" s="28">
        <f ca="1">I49/I45</f>
        <v>3.8965840018177676E-2</v>
      </c>
      <c r="I49" s="33">
        <f ca="1">F10</f>
        <v>67785.316500000001</v>
      </c>
      <c r="J49" s="27">
        <f>D10</f>
        <v>165</v>
      </c>
      <c r="K49" s="26"/>
      <c r="L49" s="26"/>
      <c r="M49" s="26"/>
      <c r="N49" s="26"/>
      <c r="O49" s="26"/>
      <c r="P49" s="26"/>
      <c r="Q49" s="26"/>
      <c r="R49" s="26"/>
      <c r="S49" s="50" t="s">
        <v>31</v>
      </c>
      <c r="T49" s="46" cm="1">
        <f t="array" aca="1" ref="T49" ca="1">_FV(N9,"P/E",TRUE)</f>
        <v>27.466200000000001</v>
      </c>
      <c r="U49" s="43">
        <f ca="1">T49*H53</f>
        <v>2.2713024709932816</v>
      </c>
      <c r="V49" s="26"/>
      <c r="W49" s="26"/>
      <c r="X49" s="26"/>
      <c r="Y49" s="70"/>
      <c r="Z49" s="26"/>
      <c r="AA49" s="28"/>
      <c r="AB49" s="28"/>
      <c r="AC49" s="26"/>
    </row>
    <row r="50" spans="1:29" x14ac:dyDescent="0.2">
      <c r="A50" s="26"/>
      <c r="B50" s="26"/>
      <c r="C50" s="26" t="s">
        <v>96</v>
      </c>
      <c r="D50" s="26"/>
      <c r="E50" s="26" t="s">
        <v>98</v>
      </c>
      <c r="F50" s="26"/>
      <c r="G50" s="26"/>
      <c r="H50" s="28">
        <f ca="1">I50/I45</f>
        <v>5.8981538013429743E-2</v>
      </c>
      <c r="I50" s="33">
        <f ca="1">F18</f>
        <v>102604.79999999999</v>
      </c>
      <c r="J50" s="27">
        <f>D18</f>
        <v>480</v>
      </c>
      <c r="K50" s="26"/>
      <c r="L50" s="26"/>
      <c r="M50" s="26"/>
      <c r="N50" s="26"/>
      <c r="O50" s="26"/>
      <c r="P50" s="26"/>
      <c r="Q50" s="26"/>
      <c r="R50" s="26"/>
      <c r="S50" s="50" t="s">
        <v>32</v>
      </c>
      <c r="T50" s="46" cm="1">
        <f t="array" aca="1" ref="T50" ca="1">_FV(N10,"P/E",TRUE)</f>
        <v>24.468699999999998</v>
      </c>
      <c r="U50" s="43">
        <f ca="1">T50*H49</f>
        <v>0.95344344965278405</v>
      </c>
      <c r="V50" s="26"/>
      <c r="W50" s="26"/>
      <c r="X50" s="26"/>
      <c r="Y50" s="70"/>
      <c r="Z50" s="26"/>
      <c r="AA50" s="28"/>
      <c r="AB50" s="28"/>
      <c r="AC50" s="26"/>
    </row>
    <row r="51" spans="1:29" x14ac:dyDescent="0.2">
      <c r="A51" s="26"/>
      <c r="B51" s="26"/>
      <c r="C51" s="26" t="s">
        <v>93</v>
      </c>
      <c r="D51" s="26"/>
      <c r="E51" s="26" t="s">
        <v>99</v>
      </c>
      <c r="F51" s="26"/>
      <c r="G51" s="26"/>
      <c r="H51" s="28">
        <f ca="1">I51/I45</f>
        <v>4.6242581672127844E-2</v>
      </c>
      <c r="I51" s="33">
        <f ca="1">F19</f>
        <v>80444</v>
      </c>
      <c r="J51" s="27">
        <f>D19</f>
        <v>560</v>
      </c>
      <c r="K51" s="26"/>
      <c r="L51" s="26"/>
      <c r="M51" s="26"/>
      <c r="N51" s="26"/>
      <c r="O51" s="26"/>
      <c r="P51" s="26"/>
      <c r="Q51" s="26"/>
      <c r="R51" s="26"/>
      <c r="S51" s="50" t="s">
        <v>33</v>
      </c>
      <c r="T51" s="46" cm="1">
        <f t="array" aca="1" ref="T51" ca="1">_FV(N11,"P/E",TRUE)</f>
        <v>28.547499999999999</v>
      </c>
      <c r="U51" s="43">
        <f ca="1">T51*H65</f>
        <v>0.60530618979153206</v>
      </c>
      <c r="V51" s="26"/>
      <c r="W51" s="26"/>
      <c r="X51" s="26"/>
      <c r="Y51" s="70"/>
      <c r="Z51" s="26"/>
      <c r="AA51" s="28"/>
      <c r="AB51" s="28"/>
      <c r="AC51" s="26"/>
    </row>
    <row r="52" spans="1:29" x14ac:dyDescent="0.2">
      <c r="A52" s="26"/>
      <c r="B52" s="26"/>
      <c r="C52" s="32" t="s">
        <v>50</v>
      </c>
      <c r="D52" s="30"/>
      <c r="E52" s="30"/>
      <c r="F52" s="30"/>
      <c r="G52" s="29">
        <v>2</v>
      </c>
      <c r="H52" s="36">
        <f ca="1">I52/I45</f>
        <v>0.12666470215022743</v>
      </c>
      <c r="I52" s="34">
        <f ca="1">SUM(I53:I54)</f>
        <v>220347.02500000002</v>
      </c>
      <c r="J52" s="30"/>
      <c r="K52" s="26"/>
      <c r="L52" s="26"/>
      <c r="M52" s="26"/>
      <c r="N52" s="26"/>
      <c r="O52" s="26"/>
      <c r="P52" s="26"/>
      <c r="Q52" s="26"/>
      <c r="R52" s="26"/>
      <c r="S52" s="50" t="s">
        <v>34</v>
      </c>
      <c r="T52" s="46" cm="1">
        <f t="array" aca="1" ref="T52" ca="1">_FV(N12,"P/E",TRUE)</f>
        <v>32.016800000000003</v>
      </c>
      <c r="U52" s="43">
        <f ca="1">T52*H47</f>
        <v>2.3087095938057272</v>
      </c>
      <c r="V52" s="26"/>
      <c r="W52" s="26"/>
      <c r="X52" s="26"/>
      <c r="Y52" s="70"/>
      <c r="Z52" s="26"/>
      <c r="AA52" s="28"/>
      <c r="AB52" s="28"/>
      <c r="AC52" s="26"/>
    </row>
    <row r="53" spans="1:29" x14ac:dyDescent="0.2">
      <c r="A53" s="26"/>
      <c r="B53" s="26"/>
      <c r="C53" s="26" t="s">
        <v>31</v>
      </c>
      <c r="D53" s="26"/>
      <c r="E53" s="26" t="s">
        <v>60</v>
      </c>
      <c r="F53" s="26"/>
      <c r="G53" s="26"/>
      <c r="H53" s="28">
        <f ca="1">I53/I45</f>
        <v>8.2694456131291616E-2</v>
      </c>
      <c r="I53" s="33">
        <f ca="1">F9</f>
        <v>143856</v>
      </c>
      <c r="J53" s="27">
        <f>D9</f>
        <v>400</v>
      </c>
      <c r="K53" s="26"/>
      <c r="L53" s="26"/>
      <c r="M53" s="26"/>
      <c r="N53" s="26"/>
      <c r="O53" s="26"/>
      <c r="P53" s="26"/>
      <c r="Q53" s="26"/>
      <c r="R53" s="26"/>
      <c r="S53" s="50" t="s">
        <v>35</v>
      </c>
      <c r="T53" s="46" cm="1">
        <f t="array" aca="1" ref="T53" ca="1">_FV(N13,"P/E",TRUE)</f>
        <v>21.260400000000001</v>
      </c>
      <c r="U53" s="43">
        <f ca="1">T53*H67</f>
        <v>0.56851851754863258</v>
      </c>
      <c r="V53" s="26"/>
      <c r="W53" s="26"/>
      <c r="X53" s="26"/>
      <c r="Y53" s="70"/>
      <c r="Z53" s="26"/>
      <c r="AA53" s="28"/>
      <c r="AB53" s="28"/>
      <c r="AC53" s="26"/>
    </row>
    <row r="54" spans="1:29" x14ac:dyDescent="0.2">
      <c r="A54" s="26"/>
      <c r="B54" s="26"/>
      <c r="C54" s="26" t="s">
        <v>95</v>
      </c>
      <c r="D54" s="26"/>
      <c r="E54" s="26" t="s">
        <v>97</v>
      </c>
      <c r="F54" s="26"/>
      <c r="G54" s="26"/>
      <c r="H54" s="28">
        <f ca="1">I54/I45</f>
        <v>4.3970246018935816E-2</v>
      </c>
      <c r="I54" s="33">
        <f ca="1">F17</f>
        <v>76491.025000000009</v>
      </c>
      <c r="J54" s="26">
        <v>130</v>
      </c>
      <c r="K54" s="26"/>
      <c r="L54" s="26"/>
      <c r="M54" s="26"/>
      <c r="N54" s="26"/>
      <c r="O54" s="26"/>
      <c r="P54" s="26"/>
      <c r="Q54" s="26"/>
      <c r="R54" s="26"/>
      <c r="S54" s="50" t="s">
        <v>36</v>
      </c>
      <c r="T54" s="46" cm="1">
        <f t="array" aca="1" ref="T54" ca="1">_FV(N14,"P/E",TRUE)</f>
        <v>7.7130000000000001</v>
      </c>
      <c r="U54" s="43">
        <f ca="1">T54*H62</f>
        <v>0.17173132405993383</v>
      </c>
      <c r="V54" s="26"/>
      <c r="W54" s="26"/>
      <c r="X54" s="26"/>
      <c r="Y54" s="70"/>
      <c r="Z54" s="26"/>
      <c r="AA54" s="28"/>
      <c r="AB54" s="28"/>
      <c r="AC54" s="26"/>
    </row>
    <row r="55" spans="1:29" x14ac:dyDescent="0.2">
      <c r="A55" s="26"/>
      <c r="B55" s="26"/>
      <c r="C55" s="29" t="s">
        <v>51</v>
      </c>
      <c r="D55" s="30"/>
      <c r="E55" s="30"/>
      <c r="F55" s="30"/>
      <c r="G55" s="29">
        <v>1</v>
      </c>
      <c r="H55" s="36">
        <f ca="1">I55/I45</f>
        <v>6.4305048236862006E-2</v>
      </c>
      <c r="I55" s="34">
        <f ca="1">I56</f>
        <v>111865.62500000001</v>
      </c>
      <c r="J55" s="30"/>
      <c r="K55" s="26"/>
      <c r="L55" s="26"/>
      <c r="M55" s="26"/>
      <c r="N55" s="26"/>
      <c r="O55" s="26"/>
      <c r="P55" s="26"/>
      <c r="Q55" s="26"/>
      <c r="R55" s="26"/>
      <c r="S55" s="50" t="s">
        <v>37</v>
      </c>
      <c r="T55" s="46" cm="1">
        <f t="array" aca="1" ref="T55" ca="1">_FV(N15,"P/E",TRUE)</f>
        <v>33.5398</v>
      </c>
      <c r="U55" s="43">
        <f ca="1">T55*H56</f>
        <v>2.1567784568547044</v>
      </c>
      <c r="V55" s="26"/>
      <c r="W55" s="26"/>
      <c r="X55" s="26"/>
      <c r="Y55" s="70"/>
      <c r="Z55" s="26"/>
      <c r="AA55" s="28"/>
      <c r="AB55" s="28"/>
      <c r="AC55" s="26"/>
    </row>
    <row r="56" spans="1:29" x14ac:dyDescent="0.2">
      <c r="A56" s="26"/>
      <c r="B56" s="26"/>
      <c r="C56" s="26" t="s">
        <v>37</v>
      </c>
      <c r="D56" s="26"/>
      <c r="E56" s="26" t="s">
        <v>61</v>
      </c>
      <c r="F56" s="26"/>
      <c r="G56" s="26"/>
      <c r="H56" s="28">
        <f ca="1">I56/I45</f>
        <v>6.4305048236862006E-2</v>
      </c>
      <c r="I56" s="33">
        <f ca="1">F15</f>
        <v>111865.62500000001</v>
      </c>
      <c r="J56" s="27">
        <f>D15</f>
        <v>625</v>
      </c>
      <c r="K56" s="26"/>
      <c r="L56" s="26"/>
      <c r="M56" s="26"/>
      <c r="N56" s="26"/>
      <c r="O56" s="26"/>
      <c r="P56" s="26"/>
      <c r="Q56" s="26"/>
      <c r="R56" s="26"/>
      <c r="S56" s="50" t="s">
        <v>38</v>
      </c>
      <c r="T56" s="46" cm="1">
        <f t="array" aca="1" ref="T56" ca="1">_FV(N16,"P/E",TRUE)</f>
        <v>27.8795</v>
      </c>
      <c r="U56" s="43">
        <f ca="1">T56*H61</f>
        <v>0.92330265880102791</v>
      </c>
      <c r="V56" s="26"/>
      <c r="W56" s="26"/>
      <c r="X56" s="26"/>
      <c r="Y56" s="70"/>
      <c r="Z56" s="26"/>
      <c r="AA56" s="28"/>
      <c r="AB56" s="28"/>
      <c r="AC56" s="26"/>
    </row>
    <row r="57" spans="1:29" x14ac:dyDescent="0.2">
      <c r="A57" s="26"/>
      <c r="B57" s="26"/>
      <c r="C57" s="29" t="s">
        <v>52</v>
      </c>
      <c r="D57" s="30"/>
      <c r="E57" s="30"/>
      <c r="F57" s="30"/>
      <c r="G57" s="29">
        <v>1</v>
      </c>
      <c r="H57" s="36">
        <f ca="1">I57/I45</f>
        <v>4.4366872557760666E-2</v>
      </c>
      <c r="I57" s="34">
        <f ca="1">I58</f>
        <v>77181</v>
      </c>
      <c r="J57" s="30"/>
      <c r="K57" s="26"/>
      <c r="L57" s="26"/>
      <c r="M57" s="26"/>
      <c r="N57" s="26"/>
      <c r="O57" s="26"/>
      <c r="P57" s="26"/>
      <c r="Q57" s="26"/>
      <c r="R57" s="26"/>
      <c r="S57" s="50" t="s">
        <v>95</v>
      </c>
      <c r="T57" s="46" cm="1">
        <f t="array" aca="1" ref="T57" ca="1">_FV(N17,"P/E",TRUE)</f>
        <v>17.846800000000002</v>
      </c>
      <c r="U57" s="72">
        <f ca="1">T57*H54</f>
        <v>0.78472818665074384</v>
      </c>
      <c r="V57" s="26"/>
      <c r="W57" s="26"/>
      <c r="X57" s="26"/>
      <c r="Y57" s="70"/>
      <c r="Z57" s="26"/>
      <c r="AA57" s="28"/>
      <c r="AB57" s="28"/>
      <c r="AC57" s="26"/>
    </row>
    <row r="58" spans="1:29" x14ac:dyDescent="0.2">
      <c r="A58" s="26"/>
      <c r="B58" s="26"/>
      <c r="C58" s="26" t="s">
        <v>30</v>
      </c>
      <c r="D58" s="26"/>
      <c r="E58" s="26" t="s">
        <v>62</v>
      </c>
      <c r="F58" s="26"/>
      <c r="G58" s="26"/>
      <c r="H58" s="28">
        <f ca="1">I58/I45</f>
        <v>4.4366872557760666E-2</v>
      </c>
      <c r="I58" s="33">
        <f ca="1">F7</f>
        <v>77181</v>
      </c>
      <c r="J58" s="27">
        <f>D7</f>
        <v>650</v>
      </c>
      <c r="K58" s="26"/>
      <c r="L58" s="26"/>
      <c r="M58" s="26"/>
      <c r="N58" s="26"/>
      <c r="O58" s="26"/>
      <c r="P58" s="26"/>
      <c r="Q58" s="26"/>
      <c r="R58" s="26"/>
      <c r="S58" s="50" t="s">
        <v>96</v>
      </c>
      <c r="T58" s="46" cm="1">
        <f t="array" aca="1" ref="T58" ca="1">_FV(N18,"P/E",TRUE)</f>
        <v>36.231099999999998</v>
      </c>
      <c r="U58" s="43">
        <f ca="1">T58*H50</f>
        <v>2.136966001918374</v>
      </c>
      <c r="V58" s="26"/>
      <c r="W58" s="26"/>
      <c r="X58" s="26"/>
      <c r="Y58" s="70"/>
      <c r="Z58" s="26"/>
      <c r="AA58" s="28"/>
      <c r="AB58" s="28"/>
      <c r="AC58" s="26"/>
    </row>
    <row r="59" spans="1:29" x14ac:dyDescent="0.2">
      <c r="A59" s="26"/>
      <c r="B59" s="26"/>
      <c r="C59" s="29" t="s">
        <v>53</v>
      </c>
      <c r="D59" s="30"/>
      <c r="E59" s="30"/>
      <c r="F59" s="30"/>
      <c r="G59" s="29">
        <v>3</v>
      </c>
      <c r="H59" s="36">
        <f ca="1">I59/I45</f>
        <v>9.5531997858163228E-2</v>
      </c>
      <c r="I59" s="34">
        <f ca="1">SUM(I60:I62)</f>
        <v>166188.29999999999</v>
      </c>
      <c r="J59" s="30"/>
      <c r="K59" s="26"/>
      <c r="L59" s="26"/>
      <c r="M59" s="26"/>
      <c r="N59" s="26"/>
      <c r="O59" s="26"/>
      <c r="P59" s="26"/>
      <c r="Q59" s="26"/>
      <c r="R59" s="26"/>
      <c r="S59" s="50" t="s">
        <v>101</v>
      </c>
      <c r="T59" s="46" cm="1">
        <f t="array" aca="1" ref="T59" ca="1">_FV(N19,"P/E",TRUE)</f>
        <v>41.238399999999999</v>
      </c>
      <c r="U59" s="43">
        <f ca="1">T59*H51</f>
        <v>1.9069700800278768</v>
      </c>
      <c r="V59" s="26"/>
      <c r="W59" s="26"/>
      <c r="X59" s="26"/>
      <c r="Y59" s="70"/>
      <c r="Z59" s="26"/>
      <c r="AA59" s="28"/>
      <c r="AB59" s="28"/>
      <c r="AC59" s="26"/>
    </row>
    <row r="60" spans="1:29" x14ac:dyDescent="0.2">
      <c r="A60" s="26"/>
      <c r="B60" s="26"/>
      <c r="C60" s="26" t="s">
        <v>29</v>
      </c>
      <c r="D60" s="26"/>
      <c r="E60" s="26" t="s">
        <v>63</v>
      </c>
      <c r="F60" s="26"/>
      <c r="G60" s="26"/>
      <c r="H60" s="28">
        <f ca="1">I60/I45</f>
        <v>4.0149200065261917E-2</v>
      </c>
      <c r="I60" s="33">
        <f ca="1">F6</f>
        <v>69843.899999999994</v>
      </c>
      <c r="J60" s="27">
        <f>D6</f>
        <v>70</v>
      </c>
      <c r="K60" s="26"/>
      <c r="L60" s="26"/>
      <c r="M60" s="26"/>
      <c r="N60" s="26"/>
      <c r="O60" s="26"/>
      <c r="P60" s="26"/>
      <c r="Q60" s="26"/>
      <c r="R60" s="26"/>
      <c r="S60" s="77" t="s">
        <v>94</v>
      </c>
      <c r="T60" s="46" cm="1">
        <f t="array" aca="1" ref="T60" ca="1">_FV(N20,"P/E",TRUE)</f>
        <v>48.941299999999998</v>
      </c>
      <c r="U60" s="78">
        <f ca="1">T60*H68</f>
        <v>2.2995498159025272</v>
      </c>
      <c r="V60" s="26"/>
      <c r="W60" s="26"/>
      <c r="X60" s="26"/>
      <c r="Y60" s="70"/>
      <c r="Z60" s="26"/>
      <c r="AA60" s="28"/>
      <c r="AB60" s="28"/>
      <c r="AC60" s="26"/>
    </row>
    <row r="61" spans="1:29" ht="19" x14ac:dyDescent="0.25">
      <c r="A61" s="26"/>
      <c r="B61" s="26"/>
      <c r="C61" s="26" t="s">
        <v>38</v>
      </c>
      <c r="D61" s="26"/>
      <c r="E61" s="26" t="s">
        <v>64</v>
      </c>
      <c r="F61" s="26"/>
      <c r="G61" s="26"/>
      <c r="H61" s="28">
        <f ca="1">I61/I45</f>
        <v>3.3117618996073385E-2</v>
      </c>
      <c r="I61" s="33">
        <f ca="1">F16</f>
        <v>57611.7</v>
      </c>
      <c r="J61" s="27">
        <f>D16</f>
        <v>180</v>
      </c>
      <c r="K61" s="26"/>
      <c r="L61" s="26"/>
      <c r="M61" s="26"/>
      <c r="N61" s="26"/>
      <c r="O61" s="26"/>
      <c r="P61" s="26"/>
      <c r="Q61" s="26"/>
      <c r="R61" s="26"/>
      <c r="S61" s="56" t="s">
        <v>88</v>
      </c>
      <c r="T61" s="57"/>
      <c r="U61" s="58">
        <f ca="1">SUM(U44:U60)</f>
        <v>27.327979695396266</v>
      </c>
      <c r="V61" s="26"/>
      <c r="W61" s="26"/>
      <c r="X61" s="26"/>
      <c r="Y61" s="70"/>
      <c r="Z61" s="26"/>
      <c r="AA61" s="28"/>
      <c r="AB61" s="28"/>
      <c r="AC61" s="26"/>
    </row>
    <row r="62" spans="1:29" x14ac:dyDescent="0.2">
      <c r="A62" s="26"/>
      <c r="B62" s="26"/>
      <c r="C62" s="26" t="s">
        <v>36</v>
      </c>
      <c r="D62" s="26"/>
      <c r="E62" s="26" t="s">
        <v>65</v>
      </c>
      <c r="F62" s="26"/>
      <c r="G62" s="26"/>
      <c r="H62" s="28">
        <f ca="1">I62/I45</f>
        <v>2.226517879682793E-2</v>
      </c>
      <c r="I62" s="33">
        <f ca="1">F14</f>
        <v>38732.699999999997</v>
      </c>
      <c r="J62" s="27">
        <f>D14</f>
        <v>940</v>
      </c>
      <c r="K62" s="26"/>
      <c r="L62" s="26"/>
      <c r="M62" s="26"/>
      <c r="N62" s="26"/>
      <c r="O62" s="26"/>
      <c r="P62" s="26"/>
      <c r="Q62" s="26"/>
      <c r="R62" s="26"/>
      <c r="S62" s="26"/>
      <c r="T62" s="26"/>
      <c r="U62" s="26"/>
      <c r="V62" s="26"/>
      <c r="W62" s="26"/>
      <c r="X62" s="26"/>
      <c r="Y62" s="70"/>
      <c r="Z62" s="26"/>
      <c r="AA62" s="28"/>
      <c r="AB62" s="28"/>
      <c r="AC62" s="26"/>
    </row>
    <row r="63" spans="1:29" x14ac:dyDescent="0.2">
      <c r="A63" s="26"/>
      <c r="B63" s="26"/>
      <c r="C63" s="29" t="s">
        <v>54</v>
      </c>
      <c r="D63" s="30"/>
      <c r="E63" s="30"/>
      <c r="F63" s="30"/>
      <c r="G63" s="29">
        <v>2</v>
      </c>
      <c r="H63" s="36">
        <f ca="1">I63/I45</f>
        <v>4.9525360043219585E-2</v>
      </c>
      <c r="I63" s="34">
        <f ca="1">SUM(I64:I65)</f>
        <v>86154.75</v>
      </c>
      <c r="J63" s="30"/>
      <c r="K63" s="26"/>
      <c r="L63" s="26"/>
      <c r="M63" s="26"/>
      <c r="N63" s="26"/>
      <c r="O63" s="26"/>
      <c r="P63" s="26"/>
      <c r="Q63" s="26"/>
      <c r="R63" s="26"/>
      <c r="S63" s="26"/>
      <c r="T63" s="26"/>
      <c r="U63" s="26"/>
      <c r="V63" s="26"/>
      <c r="W63" s="26"/>
      <c r="X63" s="26"/>
      <c r="Y63" s="70"/>
      <c r="Z63" s="26"/>
      <c r="AA63" s="28"/>
      <c r="AB63" s="28"/>
      <c r="AC63" s="26"/>
    </row>
    <row r="64" spans="1:29" x14ac:dyDescent="0.2">
      <c r="A64" s="26"/>
      <c r="B64" s="26"/>
      <c r="C64" s="26" t="s">
        <v>28</v>
      </c>
      <c r="D64" s="26"/>
      <c r="E64" s="26" t="s">
        <v>66</v>
      </c>
      <c r="F64" s="26"/>
      <c r="G64" s="26"/>
      <c r="H64" s="28">
        <f ca="1">I64/I45</f>
        <v>2.8321885490578125E-2</v>
      </c>
      <c r="I64" s="33">
        <f ca="1">F5</f>
        <v>49269</v>
      </c>
      <c r="J64" s="27">
        <f>D5</f>
        <v>300</v>
      </c>
      <c r="K64" s="26"/>
      <c r="L64" s="26"/>
      <c r="M64" s="26"/>
      <c r="N64" s="26"/>
      <c r="O64" s="26"/>
      <c r="P64" s="26"/>
      <c r="Q64" s="26"/>
      <c r="R64" s="26"/>
      <c r="S64" s="26"/>
      <c r="T64" s="26"/>
      <c r="U64" s="26"/>
      <c r="V64" s="26"/>
      <c r="W64" s="26"/>
      <c r="X64" s="26"/>
      <c r="Y64" s="70"/>
      <c r="Z64" s="26"/>
      <c r="AA64" s="28"/>
      <c r="AB64" s="28"/>
      <c r="AC64" s="26"/>
    </row>
    <row r="65" spans="1:29" x14ac:dyDescent="0.2">
      <c r="A65" s="26"/>
      <c r="B65" s="26"/>
      <c r="C65" s="26" t="s">
        <v>33</v>
      </c>
      <c r="D65" s="26"/>
      <c r="E65" s="26" t="s">
        <v>67</v>
      </c>
      <c r="F65" s="26"/>
      <c r="G65" s="26"/>
      <c r="H65" s="28">
        <f ca="1">I65/I45</f>
        <v>2.120347455264146E-2</v>
      </c>
      <c r="I65" s="33">
        <f ca="1">F11</f>
        <v>36885.75</v>
      </c>
      <c r="J65" s="27">
        <f>D11</f>
        <v>850</v>
      </c>
      <c r="K65" s="26"/>
      <c r="L65" s="26"/>
      <c r="M65" s="26"/>
      <c r="N65" s="26"/>
      <c r="O65" s="26"/>
      <c r="P65" s="26"/>
      <c r="Q65" s="26"/>
      <c r="R65" s="26"/>
      <c r="S65" s="26"/>
      <c r="T65" s="26"/>
      <c r="U65" s="26"/>
      <c r="V65" s="26"/>
      <c r="W65" s="26"/>
      <c r="X65" s="26"/>
      <c r="Y65" s="70"/>
      <c r="Z65" s="26"/>
      <c r="AA65" s="28"/>
      <c r="AB65" s="28"/>
      <c r="AC65" s="26"/>
    </row>
    <row r="66" spans="1:29" x14ac:dyDescent="0.2">
      <c r="A66" s="26"/>
      <c r="B66" s="26"/>
      <c r="C66" s="29" t="s">
        <v>55</v>
      </c>
      <c r="D66" s="30"/>
      <c r="E66" s="30"/>
      <c r="F66" s="30"/>
      <c r="G66" s="29">
        <v>2</v>
      </c>
      <c r="H66" s="36">
        <f ca="1">I66/I45</f>
        <v>7.37266006053241E-2</v>
      </c>
      <c r="I66" s="34">
        <f ca="1">SUM(I67:I68)</f>
        <v>128255.44</v>
      </c>
      <c r="J66" s="30"/>
      <c r="K66" s="26"/>
      <c r="L66" s="26"/>
      <c r="M66" s="26"/>
      <c r="N66" s="26"/>
      <c r="O66" s="26"/>
      <c r="P66" s="26"/>
      <c r="Q66" s="26"/>
      <c r="R66" s="26"/>
      <c r="S66" s="26"/>
      <c r="T66" s="26"/>
      <c r="U66" s="26"/>
      <c r="V66" s="26"/>
      <c r="W66" s="26"/>
      <c r="X66" s="26"/>
      <c r="Y66" s="70"/>
      <c r="Z66" s="26"/>
      <c r="AA66" s="28"/>
      <c r="AB66" s="28"/>
      <c r="AC66" s="26"/>
    </row>
    <row r="67" spans="1:29" x14ac:dyDescent="0.2">
      <c r="A67" s="26"/>
      <c r="B67" s="26"/>
      <c r="C67" s="26" t="s">
        <v>35</v>
      </c>
      <c r="D67" s="26"/>
      <c r="E67" s="26" t="s">
        <v>68</v>
      </c>
      <c r="F67" s="26"/>
      <c r="G67" s="26"/>
      <c r="H67" s="28">
        <f ca="1">I67/I45</f>
        <v>2.6740725364933517E-2</v>
      </c>
      <c r="I67" s="33">
        <f ca="1">F13</f>
        <v>46518.400000000001</v>
      </c>
      <c r="J67" s="27">
        <f>D13</f>
        <v>320</v>
      </c>
      <c r="K67" s="26"/>
      <c r="L67" s="26"/>
      <c r="M67" s="26"/>
      <c r="N67" s="26"/>
      <c r="O67" s="26"/>
      <c r="P67" s="26"/>
      <c r="Q67" s="26"/>
      <c r="R67" s="26"/>
      <c r="S67" s="26"/>
      <c r="T67" s="26"/>
      <c r="U67" s="26"/>
      <c r="V67" s="26"/>
      <c r="W67" s="26"/>
      <c r="X67" s="26"/>
      <c r="Y67" s="70"/>
      <c r="Z67" s="26"/>
      <c r="AA67" s="28"/>
      <c r="AB67" s="28"/>
      <c r="AC67" s="26"/>
    </row>
    <row r="68" spans="1:29" x14ac:dyDescent="0.2">
      <c r="A68" s="26"/>
      <c r="B68" s="26"/>
      <c r="C68" s="26" t="s">
        <v>94</v>
      </c>
      <c r="D68" s="26"/>
      <c r="E68" s="26" t="s">
        <v>100</v>
      </c>
      <c r="F68" s="26"/>
      <c r="G68" s="26"/>
      <c r="H68" s="28">
        <f ca="1">I68/I45</f>
        <v>4.6985875240390579E-2</v>
      </c>
      <c r="I68" s="33">
        <f ca="1">F20</f>
        <v>81737.039999999994</v>
      </c>
      <c r="J68" s="26">
        <v>84</v>
      </c>
      <c r="K68" s="26"/>
      <c r="L68" s="26"/>
      <c r="M68" s="26"/>
      <c r="N68" s="26"/>
      <c r="O68" s="26"/>
      <c r="P68" s="26"/>
      <c r="Q68" s="26"/>
      <c r="R68" s="26"/>
      <c r="S68" s="26"/>
      <c r="T68" s="26"/>
      <c r="U68" s="26"/>
      <c r="V68" s="26"/>
      <c r="W68" s="26"/>
      <c r="X68" s="26"/>
      <c r="Y68" s="70"/>
      <c r="Z68" s="26"/>
      <c r="AA68" s="28"/>
      <c r="AB68" s="28"/>
      <c r="AC68" s="26"/>
    </row>
    <row r="69" spans="1:29" x14ac:dyDescent="0.2">
      <c r="A69" s="26"/>
      <c r="B69" s="26"/>
      <c r="C69" s="29" t="s">
        <v>56</v>
      </c>
      <c r="D69" s="30"/>
      <c r="E69" s="30"/>
      <c r="F69" s="30"/>
      <c r="G69" s="29">
        <v>1</v>
      </c>
      <c r="H69" s="76">
        <f ca="1">H70</f>
        <v>0.27052404642227379</v>
      </c>
      <c r="I69" s="30"/>
      <c r="J69" s="30"/>
      <c r="K69" s="26"/>
      <c r="L69" s="26"/>
      <c r="M69" s="26"/>
      <c r="N69" s="26"/>
      <c r="O69" s="26"/>
      <c r="P69" s="26"/>
      <c r="Q69" s="26"/>
      <c r="R69" s="26"/>
      <c r="S69" s="26"/>
      <c r="T69" s="26"/>
      <c r="U69" s="26"/>
      <c r="V69" s="26"/>
      <c r="W69" s="26"/>
      <c r="X69" s="26"/>
      <c r="Y69" s="70"/>
      <c r="Z69" s="26"/>
      <c r="AA69" s="28"/>
      <c r="AB69" s="28"/>
      <c r="AC69" s="26"/>
    </row>
    <row r="70" spans="1:29" x14ac:dyDescent="0.2">
      <c r="A70" s="26"/>
      <c r="B70" s="26"/>
      <c r="C70" s="26" t="s">
        <v>22</v>
      </c>
      <c r="D70" s="26"/>
      <c r="E70" s="26" t="s">
        <v>69</v>
      </c>
      <c r="F70" s="26"/>
      <c r="G70" s="26"/>
      <c r="H70" s="28">
        <f ca="1">I70/I45</f>
        <v>0.27052404642227379</v>
      </c>
      <c r="I70" s="33">
        <f ca="1">F8</f>
        <v>470606</v>
      </c>
      <c r="J70" s="27">
        <f>D8</f>
        <v>3340</v>
      </c>
      <c r="K70" s="26"/>
      <c r="L70" s="26"/>
      <c r="M70" s="26"/>
      <c r="N70" s="26"/>
      <c r="O70" s="26"/>
      <c r="P70" s="26"/>
      <c r="Q70" s="26"/>
      <c r="R70" s="26"/>
      <c r="S70" s="26"/>
      <c r="T70" s="26"/>
      <c r="U70" s="26"/>
      <c r="V70" s="26"/>
      <c r="W70" s="26"/>
      <c r="X70" s="26"/>
      <c r="Y70" s="70"/>
      <c r="Z70" s="26"/>
      <c r="AA70" s="28"/>
      <c r="AB70" s="28"/>
      <c r="AC70" s="26"/>
    </row>
    <row r="71" spans="1:29" x14ac:dyDescent="0.2">
      <c r="A71" s="26"/>
      <c r="B71" s="26"/>
      <c r="C71" s="26"/>
      <c r="D71" s="26"/>
      <c r="E71" s="26"/>
      <c r="F71" s="26"/>
      <c r="G71" s="26"/>
      <c r="H71" s="26"/>
      <c r="I71" s="26"/>
      <c r="J71" s="26"/>
      <c r="K71" s="26"/>
      <c r="L71" s="26"/>
      <c r="M71" s="26"/>
      <c r="N71" s="26"/>
      <c r="O71" s="26"/>
      <c r="P71" s="26"/>
      <c r="Q71" s="26"/>
      <c r="R71" s="26"/>
      <c r="S71" s="26"/>
      <c r="T71" s="26"/>
      <c r="U71" s="26"/>
      <c r="V71" s="26"/>
      <c r="W71" s="26"/>
      <c r="X71" s="26"/>
      <c r="Y71" s="70"/>
      <c r="Z71" s="26"/>
      <c r="AA71" s="28"/>
      <c r="AB71" s="28"/>
      <c r="AC71" s="26"/>
    </row>
    <row r="72" spans="1:29" x14ac:dyDescent="0.2">
      <c r="A72" s="26"/>
      <c r="B72" s="26"/>
      <c r="C72" s="26"/>
      <c r="D72" s="26"/>
      <c r="E72" s="26"/>
      <c r="F72" s="26"/>
      <c r="G72" s="26"/>
      <c r="H72" s="26"/>
      <c r="I72" s="26"/>
      <c r="J72" s="26"/>
      <c r="K72" s="26"/>
      <c r="L72" s="26"/>
      <c r="M72" s="26"/>
      <c r="N72" s="26"/>
      <c r="O72" s="26"/>
      <c r="P72" s="26"/>
      <c r="Q72" s="26"/>
      <c r="R72" s="26"/>
      <c r="S72" s="26"/>
      <c r="T72" s="26"/>
      <c r="U72" s="26"/>
      <c r="V72" s="26"/>
      <c r="W72" s="26"/>
      <c r="X72" s="26"/>
      <c r="Y72" s="70"/>
      <c r="Z72" s="26"/>
      <c r="AA72" s="28"/>
      <c r="AB72" s="28"/>
      <c r="AC72" s="26"/>
    </row>
    <row r="73" spans="1:29" x14ac:dyDescent="0.2">
      <c r="A73" s="26"/>
      <c r="B73" s="26"/>
      <c r="C73" s="26"/>
      <c r="D73" s="26"/>
      <c r="E73" s="26"/>
      <c r="F73" s="26"/>
      <c r="G73" s="26"/>
      <c r="H73" s="26"/>
      <c r="I73" s="26"/>
      <c r="J73" s="26"/>
      <c r="K73" s="26"/>
      <c r="L73" s="26"/>
      <c r="M73" s="26"/>
      <c r="N73" s="26"/>
      <c r="O73" s="26"/>
      <c r="P73" s="26"/>
      <c r="Q73" s="26"/>
      <c r="R73" s="26"/>
      <c r="S73" s="26"/>
      <c r="T73" s="26"/>
      <c r="U73" s="26"/>
      <c r="V73" s="26"/>
      <c r="W73" s="26"/>
      <c r="X73" s="26"/>
      <c r="Y73" s="70"/>
      <c r="Z73" s="26"/>
      <c r="AA73" s="26"/>
      <c r="AB73" s="26"/>
      <c r="AC73" s="26"/>
    </row>
    <row r="74" spans="1:29" x14ac:dyDescent="0.2">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spans="1:29" x14ac:dyDescent="0.2">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spans="1:29" x14ac:dyDescent="0.2">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spans="1:29" x14ac:dyDescent="0.2">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sheetData>
  <conditionalFormatting sqref="I4:L21">
    <cfRule type="cellIs" dxfId="5" priority="3" operator="lessThan">
      <formula>0</formula>
    </cfRule>
    <cfRule type="cellIs" dxfId="4" priority="4" operator="greaterThan">
      <formula>0</formula>
    </cfRule>
  </conditionalFormatting>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D9A2-E79B-A540-865E-CD99B97EE0E1}">
  <dimension ref="B2:S42"/>
  <sheetViews>
    <sheetView tabSelected="1" topLeftCell="A4" workbookViewId="0">
      <selection activeCell="B30" sqref="B30"/>
    </sheetView>
  </sheetViews>
  <sheetFormatPr baseColWidth="10" defaultRowHeight="16" x14ac:dyDescent="0.2"/>
  <cols>
    <col min="1" max="1" width="7" customWidth="1"/>
    <col min="2" max="2" width="13.5" customWidth="1"/>
    <col min="3" max="3" width="12.1640625" customWidth="1"/>
    <col min="4" max="4" width="15" customWidth="1"/>
    <col min="5" max="5" width="11.6640625" customWidth="1"/>
    <col min="6" max="6" width="11" customWidth="1"/>
    <col min="7" max="7" width="10.6640625" customWidth="1"/>
    <col min="8" max="9" width="14" bestFit="1" customWidth="1"/>
    <col min="10" max="10" width="15" customWidth="1"/>
    <col min="11" max="11" width="15.33203125" customWidth="1"/>
  </cols>
  <sheetData>
    <row r="2" spans="3:14" ht="27" x14ac:dyDescent="0.35">
      <c r="D2" t="s">
        <v>41</v>
      </c>
      <c r="F2" s="10" t="s">
        <v>14</v>
      </c>
      <c r="J2" t="s">
        <v>42</v>
      </c>
    </row>
    <row r="3" spans="3:14" ht="27" x14ac:dyDescent="0.35">
      <c r="C3" s="14"/>
      <c r="D3" s="15" t="s">
        <v>39</v>
      </c>
      <c r="E3" s="15" t="s">
        <v>3</v>
      </c>
      <c r="F3" s="15" t="s">
        <v>15</v>
      </c>
      <c r="G3" s="15" t="s">
        <v>1</v>
      </c>
      <c r="H3" s="15" t="s">
        <v>19</v>
      </c>
      <c r="I3" s="15" t="s">
        <v>20</v>
      </c>
      <c r="J3" s="15" t="s">
        <v>16</v>
      </c>
      <c r="K3" s="16" t="s">
        <v>17</v>
      </c>
      <c r="N3" s="13" t="s">
        <v>10</v>
      </c>
    </row>
    <row r="4" spans="3:14" x14ac:dyDescent="0.2">
      <c r="C4" s="3" t="str" cm="1">
        <f t="array" aca="1" ref="C4" ca="1">_FV(N4,"Ticker symbol",TRUE)</f>
        <v>ASTS</v>
      </c>
      <c r="D4" s="25">
        <v>72.63</v>
      </c>
      <c r="E4" s="5" cm="1">
        <f t="array" aca="1" ref="E4" ca="1">_FV(N4,"Price")</f>
        <v>93.394999999999996</v>
      </c>
      <c r="F4" s="5">
        <f ca="1">E4-D4</f>
        <v>20.765000000000001</v>
      </c>
      <c r="G4" s="4">
        <v>1100</v>
      </c>
      <c r="H4" s="6">
        <f ca="1">G4*F4</f>
        <v>22841.5</v>
      </c>
      <c r="I4" s="17">
        <f ca="1">E4/D4-1</f>
        <v>0.28590114277846612</v>
      </c>
      <c r="J4" s="6">
        <f>G4*D4</f>
        <v>79893</v>
      </c>
      <c r="K4" s="18">
        <f ca="1">G4*E4</f>
        <v>102734.5</v>
      </c>
      <c r="N4" t="e" vm="1">
        <v>#VALUE!</v>
      </c>
    </row>
    <row r="5" spans="3:14" x14ac:dyDescent="0.2">
      <c r="C5" s="3" t="str" cm="1">
        <f t="array" aca="1" ref="C5" ca="1">_FV(N5,"Ticker symbol",TRUE)</f>
        <v>BKNG</v>
      </c>
      <c r="D5" s="12">
        <v>207.26</v>
      </c>
      <c r="E5" s="5" cm="1">
        <f t="array" aca="1" ref="E5" ca="1">_FV(N5,"Price")</f>
        <v>164.23</v>
      </c>
      <c r="F5" s="5">
        <f t="shared" ref="F5:F20" ca="1" si="0">E5-D5</f>
        <v>-43.03</v>
      </c>
      <c r="G5" s="4">
        <v>300</v>
      </c>
      <c r="H5" s="6">
        <f t="shared" ref="H5:H20" ca="1" si="1">G5*F5</f>
        <v>-12909</v>
      </c>
      <c r="I5" s="17">
        <f ca="1">E5/D5-1</f>
        <v>-0.20761362539805073</v>
      </c>
      <c r="J5" s="6">
        <f t="shared" ref="J5:J20" si="2">G5*D5</f>
        <v>62178</v>
      </c>
      <c r="K5" s="18">
        <f t="shared" ref="K5:K20" ca="1" si="3">G5*E5</f>
        <v>49269</v>
      </c>
      <c r="N5" t="e" vm="3">
        <v>#VALUE!</v>
      </c>
    </row>
    <row r="6" spans="3:14" x14ac:dyDescent="0.2">
      <c r="C6" s="3" t="str" cm="1">
        <f t="array" aca="1" ref="C6" ca="1">_FV(N6,"Ticker symbol",TRUE)</f>
        <v>BLK</v>
      </c>
      <c r="D6" s="12">
        <v>1070.3399999999999</v>
      </c>
      <c r="E6" s="5" cm="1">
        <f t="array" aca="1" ref="E6" ca="1">_FV(N6,"Price")</f>
        <v>997.77</v>
      </c>
      <c r="F6" s="5">
        <f t="shared" ca="1" si="0"/>
        <v>-72.569999999999936</v>
      </c>
      <c r="G6" s="4">
        <v>70</v>
      </c>
      <c r="H6" s="6">
        <f t="shared" ca="1" si="1"/>
        <v>-5079.899999999996</v>
      </c>
      <c r="I6" s="17">
        <f ca="1">E6/D6-1</f>
        <v>-6.7800885699870972E-2</v>
      </c>
      <c r="J6" s="6">
        <f t="shared" si="2"/>
        <v>74923.799999999988</v>
      </c>
      <c r="K6" s="18">
        <f t="shared" ca="1" si="3"/>
        <v>69843.899999999994</v>
      </c>
      <c r="N6" t="e" vm="4">
        <v>#VALUE!</v>
      </c>
    </row>
    <row r="7" spans="3:14" x14ac:dyDescent="0.2">
      <c r="C7" s="3" t="str" cm="1">
        <f t="array" aca="1" ref="C7" ca="1">_FV(N7,"Ticker symbol",TRUE)</f>
        <v>COP</v>
      </c>
      <c r="D7" s="12">
        <v>93.61</v>
      </c>
      <c r="E7" s="5" cm="1">
        <f t="array" aca="1" ref="E7" ca="1">_FV(N7,"Price")</f>
        <v>118.74</v>
      </c>
      <c r="F7" s="5">
        <f t="shared" ca="1" si="0"/>
        <v>25.129999999999995</v>
      </c>
      <c r="G7" s="4">
        <v>650</v>
      </c>
      <c r="H7" s="6">
        <f t="shared" ca="1" si="1"/>
        <v>16334.499999999996</v>
      </c>
      <c r="I7" s="17">
        <f ca="1">E7/D7-1</f>
        <v>0.26845422497596405</v>
      </c>
      <c r="J7" s="6">
        <f t="shared" si="2"/>
        <v>60846.5</v>
      </c>
      <c r="K7" s="18">
        <f t="shared" ca="1" si="3"/>
        <v>77181</v>
      </c>
      <c r="N7" t="e" vm="5">
        <v>#VALUE!</v>
      </c>
    </row>
    <row r="8" spans="3:14" x14ac:dyDescent="0.2">
      <c r="C8" s="3" t="str" cm="1">
        <f t="array" aca="1" ref="C8" ca="1">_FV(N8,"Ticker symbol",TRUE)</f>
        <v>DSI</v>
      </c>
      <c r="D8" s="12">
        <v>128.83000000000001</v>
      </c>
      <c r="E8" s="5" cm="1">
        <f t="array" aca="1" ref="E8" ca="1">_FV(N8,"Price")</f>
        <v>140.9</v>
      </c>
      <c r="F8" s="5">
        <f t="shared" ca="1" si="0"/>
        <v>12.069999999999993</v>
      </c>
      <c r="G8" s="4">
        <v>3340</v>
      </c>
      <c r="H8" s="6">
        <f t="shared" ca="1" si="1"/>
        <v>40313.799999999974</v>
      </c>
      <c r="I8" s="17">
        <f t="shared" ref="I8:I20" ca="1" si="4">E8/D8-1</f>
        <v>9.3689358068772766E-2</v>
      </c>
      <c r="J8" s="6">
        <f t="shared" si="2"/>
        <v>430292.20000000007</v>
      </c>
      <c r="K8" s="18">
        <f t="shared" ca="1" si="3"/>
        <v>470606</v>
      </c>
      <c r="N8" t="e" vm="6">
        <v>#VALUE!</v>
      </c>
    </row>
    <row r="9" spans="3:14" x14ac:dyDescent="0.2">
      <c r="C9" s="3" t="str" cm="1">
        <f t="array" aca="1" ref="C9" ca="1">_FV(N9,"Ticker symbol",TRUE)</f>
        <v>GOOG</v>
      </c>
      <c r="D9" s="12">
        <v>313.8</v>
      </c>
      <c r="E9" s="5" cm="1">
        <f t="array" aca="1" ref="E9" ca="1">_FV(N9,"Price")</f>
        <v>359.64</v>
      </c>
      <c r="F9" s="5">
        <f t="shared" ca="1" si="0"/>
        <v>45.839999999999975</v>
      </c>
      <c r="G9" s="4">
        <v>400</v>
      </c>
      <c r="H9" s="6">
        <f t="shared" ca="1" si="1"/>
        <v>18335.999999999989</v>
      </c>
      <c r="I9" s="17">
        <f t="shared" ca="1" si="4"/>
        <v>0.14608030592734211</v>
      </c>
      <c r="J9" s="6">
        <f t="shared" si="2"/>
        <v>125520</v>
      </c>
      <c r="K9" s="18">
        <f t="shared" ca="1" si="3"/>
        <v>143856</v>
      </c>
      <c r="N9" t="e" vm="7">
        <v>#VALUE!</v>
      </c>
    </row>
    <row r="10" spans="3:14" x14ac:dyDescent="0.2">
      <c r="C10" s="3" t="str" cm="1">
        <f t="array" aca="1" ref="C10" ca="1">_FV(N10,"Ticker symbol",TRUE)</f>
        <v>MSFT</v>
      </c>
      <c r="D10" s="12">
        <v>483.62</v>
      </c>
      <c r="E10" s="5" cm="1">
        <f t="array" aca="1" ref="E10" ca="1">_FV(N10,"Price")</f>
        <v>410.82010000000002</v>
      </c>
      <c r="F10" s="5">
        <f t="shared" ca="1" si="0"/>
        <v>-72.79989999999998</v>
      </c>
      <c r="G10" s="4">
        <v>165</v>
      </c>
      <c r="H10" s="6">
        <f t="shared" ca="1" si="1"/>
        <v>-12011.983499999997</v>
      </c>
      <c r="I10" s="17">
        <f t="shared" ca="1" si="4"/>
        <v>-0.15053120218353244</v>
      </c>
      <c r="J10" s="6">
        <f t="shared" si="2"/>
        <v>79797.3</v>
      </c>
      <c r="K10" s="18">
        <f t="shared" ca="1" si="3"/>
        <v>67785.316500000001</v>
      </c>
      <c r="N10" t="e" vm="8">
        <v>#VALUE!</v>
      </c>
    </row>
    <row r="11" spans="3:14" x14ac:dyDescent="0.2">
      <c r="C11" s="3" t="str" cm="1">
        <f t="array" aca="1" ref="C11" ca="1">_FV(N11,"Ticker symbol",TRUE)</f>
        <v>NKE</v>
      </c>
      <c r="D11" s="12">
        <v>63.71</v>
      </c>
      <c r="E11" s="5" cm="1">
        <f t="array" aca="1" ref="E11" ca="1">_FV(N11,"Price")</f>
        <v>43.395000000000003</v>
      </c>
      <c r="F11" s="5">
        <f t="shared" ca="1" si="0"/>
        <v>-20.314999999999998</v>
      </c>
      <c r="G11" s="4">
        <v>850</v>
      </c>
      <c r="H11" s="6">
        <f t="shared" ca="1" si="1"/>
        <v>-17267.749999999996</v>
      </c>
      <c r="I11" s="17">
        <f t="shared" ca="1" si="4"/>
        <v>-0.31886673991524095</v>
      </c>
      <c r="J11" s="6">
        <f t="shared" si="2"/>
        <v>54153.5</v>
      </c>
      <c r="K11" s="18">
        <f t="shared" ca="1" si="3"/>
        <v>36885.75</v>
      </c>
      <c r="N11" t="e" vm="9">
        <v>#VALUE!</v>
      </c>
    </row>
    <row r="12" spans="3:14" x14ac:dyDescent="0.2">
      <c r="C12" s="3" t="str" cm="1">
        <f t="array" aca="1" ref="C12" ca="1">_FV(N12,"Ticker symbol",TRUE)</f>
        <v>NVDA</v>
      </c>
      <c r="D12" s="12">
        <v>186.5</v>
      </c>
      <c r="E12" s="5" cm="1">
        <f t="array" aca="1" ref="E12" ca="1">_FV(N12,"Price")</f>
        <v>209.07</v>
      </c>
      <c r="F12" s="5">
        <f t="shared" ca="1" si="0"/>
        <v>22.569999999999993</v>
      </c>
      <c r="G12" s="4">
        <v>600</v>
      </c>
      <c r="H12" s="6">
        <f t="shared" ca="1" si="1"/>
        <v>13541.999999999996</v>
      </c>
      <c r="I12" s="17">
        <f t="shared" ca="1" si="4"/>
        <v>0.12101876675603207</v>
      </c>
      <c r="J12" s="6">
        <f t="shared" si="2"/>
        <v>111900</v>
      </c>
      <c r="K12" s="18">
        <f t="shared" ca="1" si="3"/>
        <v>125442</v>
      </c>
      <c r="N12" t="e" vm="10">
        <v>#VALUE!</v>
      </c>
    </row>
    <row r="13" spans="3:14" x14ac:dyDescent="0.2">
      <c r="C13" s="3" t="str" cm="1">
        <f t="array" aca="1" ref="C13" ca="1">_FV(N13,"Ticker symbol",TRUE)</f>
        <v>PG</v>
      </c>
      <c r="D13" s="12">
        <v>143.31</v>
      </c>
      <c r="E13" s="5" cm="1">
        <f t="array" aca="1" ref="E13" ca="1">_FV(N13,"Price")</f>
        <v>145.37</v>
      </c>
      <c r="F13" s="5">
        <f t="shared" ca="1" si="0"/>
        <v>2.0600000000000023</v>
      </c>
      <c r="G13" s="4">
        <v>320</v>
      </c>
      <c r="H13" s="6">
        <f t="shared" ca="1" si="1"/>
        <v>659.20000000000073</v>
      </c>
      <c r="I13" s="17">
        <f t="shared" ca="1" si="4"/>
        <v>1.4374433047240176E-2</v>
      </c>
      <c r="J13" s="6">
        <f t="shared" si="2"/>
        <v>45859.199999999997</v>
      </c>
      <c r="K13" s="18">
        <f t="shared" ca="1" si="3"/>
        <v>46518.400000000001</v>
      </c>
      <c r="N13" t="e" vm="11">
        <v>#VALUE!</v>
      </c>
    </row>
    <row r="14" spans="3:14" x14ac:dyDescent="0.2">
      <c r="C14" s="3" t="str" cm="1">
        <f t="array" aca="1" ref="C14" ca="1">_FV(N14,"Ticker symbol",TRUE)</f>
        <v>PYPL</v>
      </c>
      <c r="D14" s="12">
        <v>58.38</v>
      </c>
      <c r="E14" s="5" cm="1">
        <f t="array" aca="1" ref="E14" ca="1">_FV(N14,"Price")</f>
        <v>41.204999999999998</v>
      </c>
      <c r="F14" s="5">
        <f t="shared" ca="1" si="0"/>
        <v>-17.175000000000004</v>
      </c>
      <c r="G14" s="4">
        <v>940</v>
      </c>
      <c r="H14" s="6">
        <f t="shared" ca="1" si="1"/>
        <v>-16144.500000000004</v>
      </c>
      <c r="I14" s="17">
        <f t="shared" ca="1" si="4"/>
        <v>-0.29419321685508737</v>
      </c>
      <c r="J14" s="6">
        <f t="shared" si="2"/>
        <v>54877.200000000004</v>
      </c>
      <c r="K14" s="18">
        <f t="shared" ca="1" si="3"/>
        <v>38732.699999999997</v>
      </c>
      <c r="N14" t="e" vm="12">
        <v>#VALUE!</v>
      </c>
    </row>
    <row r="15" spans="3:14" x14ac:dyDescent="0.2">
      <c r="C15" s="3" t="str" cm="1">
        <f t="array" aca="1" ref="C15" ca="1">_FV(N15,"Ticker symbol",TRUE)</f>
        <v>RTX</v>
      </c>
      <c r="D15" s="12">
        <v>183.4</v>
      </c>
      <c r="E15" s="5" cm="1">
        <f t="array" aca="1" ref="E15" ca="1">_FV(N15,"Price")</f>
        <v>178.98500000000001</v>
      </c>
      <c r="F15" s="5">
        <f t="shared" ca="1" si="0"/>
        <v>-4.414999999999992</v>
      </c>
      <c r="G15" s="4">
        <v>625</v>
      </c>
      <c r="H15" s="6">
        <f t="shared" ca="1" si="1"/>
        <v>-2759.374999999995</v>
      </c>
      <c r="I15" s="17">
        <f t="shared" ca="1" si="4"/>
        <v>-2.4073064340239814E-2</v>
      </c>
      <c r="J15" s="6">
        <f t="shared" si="2"/>
        <v>114625</v>
      </c>
      <c r="K15" s="18">
        <f t="shared" ca="1" si="3"/>
        <v>111865.62500000001</v>
      </c>
      <c r="N15" t="e" vm="13">
        <v>#VALUE!</v>
      </c>
    </row>
    <row r="16" spans="3:14" x14ac:dyDescent="0.2">
      <c r="C16" s="3" t="str" cm="1">
        <f t="array" aca="1" ref="C16" ca="1">_FV(N16,"Ticker symbol",TRUE)</f>
        <v>V</v>
      </c>
      <c r="D16" s="12">
        <v>350.71</v>
      </c>
      <c r="E16" s="5" cm="1">
        <f t="array" aca="1" ref="E16" ca="1">_FV(N16,"Price")</f>
        <v>320.065</v>
      </c>
      <c r="F16" s="5">
        <f t="shared" ca="1" si="0"/>
        <v>-30.644999999999982</v>
      </c>
      <c r="G16" s="4">
        <v>180</v>
      </c>
      <c r="H16" s="6">
        <f t="shared" ca="1" si="1"/>
        <v>-5516.0999999999967</v>
      </c>
      <c r="I16" s="17">
        <f t="shared" ca="1" si="4"/>
        <v>-8.7379886515924765E-2</v>
      </c>
      <c r="J16" s="6">
        <f t="shared" si="2"/>
        <v>63127.799999999996</v>
      </c>
      <c r="K16" s="18">
        <f t="shared" ca="1" si="3"/>
        <v>57611.7</v>
      </c>
      <c r="N16" t="e" vm="14">
        <v>#VALUE!</v>
      </c>
    </row>
    <row r="17" spans="2:19" x14ac:dyDescent="0.2">
      <c r="B17" t="s">
        <v>102</v>
      </c>
      <c r="C17" s="3" t="str" cm="1">
        <f t="array" aca="1" ref="C17" ca="1">_FV(N17,"Ticker symbol",TRUE)</f>
        <v>META</v>
      </c>
      <c r="D17" s="12">
        <v>673.53</v>
      </c>
      <c r="E17" s="5" cm="1">
        <f t="array" aca="1" ref="E17" ca="1">_FV(N17,"Price")</f>
        <v>588.39250000000004</v>
      </c>
      <c r="F17" s="5">
        <f t="shared" ca="1" si="0"/>
        <v>-85.137499999999932</v>
      </c>
      <c r="G17" s="4">
        <v>130</v>
      </c>
      <c r="H17" s="75">
        <f ca="1">G17*F17</f>
        <v>-11067.874999999991</v>
      </c>
      <c r="I17" s="17">
        <f t="shared" ca="1" si="4"/>
        <v>-0.12640491143675847</v>
      </c>
      <c r="J17" s="75">
        <f t="shared" si="2"/>
        <v>87558.9</v>
      </c>
      <c r="K17" s="18">
        <f t="shared" ca="1" si="3"/>
        <v>76491.025000000009</v>
      </c>
      <c r="N17" t="e" vm="15">
        <v>#VALUE!</v>
      </c>
    </row>
    <row r="18" spans="2:19" x14ac:dyDescent="0.2">
      <c r="B18" t="s">
        <v>102</v>
      </c>
      <c r="C18" s="3" t="str" cm="1">
        <f t="array" aca="1" ref="C18" ca="1">_FV(N18,"Ticker symbol",TRUE)</f>
        <v>ORCL</v>
      </c>
      <c r="D18" s="12">
        <v>177.58</v>
      </c>
      <c r="E18" s="5" cm="1">
        <f t="array" aca="1" ref="E18" ca="1">_FV(N18,"Price")</f>
        <v>213.76</v>
      </c>
      <c r="F18" s="5">
        <f t="shared" ca="1" si="0"/>
        <v>36.179999999999978</v>
      </c>
      <c r="G18" s="4">
        <v>480</v>
      </c>
      <c r="H18" s="75">
        <f t="shared" ca="1" si="1"/>
        <v>17366.399999999991</v>
      </c>
      <c r="I18" s="17">
        <f t="shared" ca="1" si="4"/>
        <v>0.20373915981529445</v>
      </c>
      <c r="J18" s="75">
        <f t="shared" si="2"/>
        <v>85238.400000000009</v>
      </c>
      <c r="K18" s="18">
        <f t="shared" ca="1" si="3"/>
        <v>102604.79999999999</v>
      </c>
      <c r="N18" t="e" vm="16">
        <v>#VALUE!</v>
      </c>
      <c r="R18" t="s">
        <v>23</v>
      </c>
    </row>
    <row r="19" spans="2:19" x14ac:dyDescent="0.2">
      <c r="B19" t="s">
        <v>102</v>
      </c>
      <c r="C19" s="3" t="str" cm="1">
        <f t="array" aca="1" ref="C19" ca="1">_FV(N19,"Ticker symbol",TRUE)</f>
        <v>APH</v>
      </c>
      <c r="D19" s="12">
        <v>150.44999999999999</v>
      </c>
      <c r="E19" s="5" cm="1">
        <f t="array" aca="1" ref="E19" ca="1">_FV(N19,"Price")</f>
        <v>143.65</v>
      </c>
      <c r="F19" s="5">
        <f t="shared" ca="1" si="0"/>
        <v>-6.7999999999999829</v>
      </c>
      <c r="G19" s="4">
        <v>560</v>
      </c>
      <c r="H19" s="75">
        <f t="shared" ca="1" si="1"/>
        <v>-3807.9999999999905</v>
      </c>
      <c r="I19" s="17">
        <f t="shared" ca="1" si="4"/>
        <v>-4.5197740112994267E-2</v>
      </c>
      <c r="J19" s="75">
        <f t="shared" si="2"/>
        <v>84252</v>
      </c>
      <c r="K19" s="18">
        <f t="shared" ca="1" si="3"/>
        <v>80444</v>
      </c>
      <c r="N19" t="e" vm="17">
        <v>#VALUE!</v>
      </c>
      <c r="R19" t="s">
        <v>21</v>
      </c>
      <c r="S19" s="11">
        <f ca="1">K21/J21-1</f>
        <v>2.3331389095836652E-2</v>
      </c>
    </row>
    <row r="20" spans="2:19" x14ac:dyDescent="0.2">
      <c r="B20" t="s">
        <v>102</v>
      </c>
      <c r="C20" s="3" t="str" cm="1">
        <f t="array" aca="1" ref="C20" ca="1">_FV(N20,"Ticker symbol",TRUE)</f>
        <v>COST</v>
      </c>
      <c r="D20" s="12">
        <v>1010.76</v>
      </c>
      <c r="E20" s="5" cm="1">
        <f t="array" aca="1" ref="E20" ca="1">_FV(N20,"Price")</f>
        <v>973.06</v>
      </c>
      <c r="F20" s="5">
        <f t="shared" ca="1" si="0"/>
        <v>-37.700000000000045</v>
      </c>
      <c r="G20" s="4">
        <v>84</v>
      </c>
      <c r="H20" s="75">
        <f t="shared" ca="1" si="1"/>
        <v>-3166.8000000000038</v>
      </c>
      <c r="I20" s="17">
        <f t="shared" ca="1" si="4"/>
        <v>-3.7298666350073284E-2</v>
      </c>
      <c r="J20" s="75">
        <f t="shared" si="2"/>
        <v>84903.84</v>
      </c>
      <c r="K20" s="18">
        <f t="shared" ca="1" si="3"/>
        <v>81737.039999999994</v>
      </c>
      <c r="N20" t="e" vm="18">
        <v>#VALUE!</v>
      </c>
      <c r="R20" t="s">
        <v>22</v>
      </c>
      <c r="S20" s="7">
        <f ca="1">I8</f>
        <v>9.3689358068772766E-2</v>
      </c>
    </row>
    <row r="21" spans="2:19" x14ac:dyDescent="0.2">
      <c r="C21" s="19"/>
      <c r="D21" s="20"/>
      <c r="E21" s="20"/>
      <c r="F21" s="20"/>
      <c r="G21" s="20"/>
      <c r="H21" s="21">
        <f ca="1">SUM(H4:H20)</f>
        <v>39662.116499999967</v>
      </c>
      <c r="I21" s="20"/>
      <c r="J21" s="21">
        <f>SUM(J4:J20)</f>
        <v>1699946.64</v>
      </c>
      <c r="K21" s="22">
        <f ca="1">SUM(K4:K20)</f>
        <v>1739608.7564999999</v>
      </c>
      <c r="R21" t="str" cm="1">
        <f t="array" aca="1" ref="R21" ca="1">_FV(L41,"Ticker symbol",TRUE)</f>
        <v>SPY</v>
      </c>
      <c r="S21" s="7">
        <f ca="1">P41</f>
        <v>8.9834584702017883E-2</v>
      </c>
    </row>
    <row r="22" spans="2:19" x14ac:dyDescent="0.2">
      <c r="R22" t="str" cm="1">
        <f t="array" aca="1" ref="R22" ca="1">_FV(L42,"Ticker symbol",TRUE)</f>
        <v>QQQ</v>
      </c>
      <c r="S22" s="7">
        <f ca="1">P42</f>
        <v>0.17320245478667129</v>
      </c>
    </row>
    <row r="38" spans="12:16" x14ac:dyDescent="0.2">
      <c r="P38" s="24"/>
    </row>
    <row r="39" spans="12:16" x14ac:dyDescent="0.2">
      <c r="L39" t="s">
        <v>26</v>
      </c>
    </row>
    <row r="40" spans="12:16" x14ac:dyDescent="0.2">
      <c r="N40" t="s">
        <v>40</v>
      </c>
      <c r="O40" t="s">
        <v>24</v>
      </c>
      <c r="P40" t="s">
        <v>25</v>
      </c>
    </row>
    <row r="41" spans="12:16" x14ac:dyDescent="0.2">
      <c r="L41" t="e" vm="2">
        <v>#VALUE!</v>
      </c>
      <c r="M41" t="str" cm="1">
        <f t="array" aca="1" ref="M41" ca="1">_FV(L41,"Ticker symbol",TRUE)</f>
        <v>SPY</v>
      </c>
      <c r="N41" s="12">
        <v>681.92</v>
      </c>
      <c r="O41" s="5" cm="1">
        <f t="array" aca="1" ref="O41" ca="1">_FV(L41,"Price")</f>
        <v>743.18</v>
      </c>
      <c r="P41" s="11">
        <f ca="1">O41/N41-1</f>
        <v>8.9834584702017883E-2</v>
      </c>
    </row>
    <row r="42" spans="12:16" x14ac:dyDescent="0.2">
      <c r="L42" t="e" vm="19">
        <v>#VALUE!</v>
      </c>
      <c r="M42" t="str" cm="1">
        <f t="array" aca="1" ref="M42" ca="1">_FV(L42,"Ticker symbol",TRUE)</f>
        <v>QQQ</v>
      </c>
      <c r="N42" s="12">
        <v>614.30999999999995</v>
      </c>
      <c r="O42" s="5" cm="1">
        <f t="array" aca="1" ref="O42" ca="1">_FV(L42,"Price")</f>
        <v>720.71</v>
      </c>
      <c r="P42" s="11">
        <f ca="1">O42/N42-1</f>
        <v>0.17320245478667129</v>
      </c>
    </row>
  </sheetData>
  <phoneticPr fontId="20" type="noConversion"/>
  <conditionalFormatting sqref="F4:F20">
    <cfRule type="cellIs" dxfId="3" priority="1" operator="lessThan">
      <formula>0</formula>
    </cfRule>
    <cfRule type="cellIs" dxfId="2" priority="2" operator="greaterThan">
      <formula>0</formula>
    </cfRule>
  </conditionalFormatting>
  <conditionalFormatting sqref="H4:I20">
    <cfRule type="cellIs" dxfId="1" priority="3" operator="lessThan">
      <formula>0</formula>
    </cfRule>
    <cfRule type="cellIs" dxfId="0" priority="4" operator="greaterThan">
      <formula>0</formula>
    </cfRule>
  </conditionalFormatting>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DVF Tracker</vt:lpstr>
      <vt:lpstr>YTD Gains, ETC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Berger</dc:creator>
  <cp:lastModifiedBy>Jack Ogden</cp:lastModifiedBy>
  <dcterms:created xsi:type="dcterms:W3CDTF">2025-12-20T22:29:45Z</dcterms:created>
  <dcterms:modified xsi:type="dcterms:W3CDTF">2026-06-08T16:26:23Z</dcterms:modified>
</cp:coreProperties>
</file>